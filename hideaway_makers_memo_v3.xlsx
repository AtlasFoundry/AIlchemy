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4"/>
    <sheet state="visible" name="Scale &amp; domains" sheetId="2" r:id="rId5"/>
    <sheet state="visible" name="Question bank" sheetId="3" r:id="rId6"/>
    <sheet state="visible" name="Scoring" sheetId="4" r:id="rId7"/>
    <sheet state="visible" name="Patterns" sheetId="5" r:id="rId8"/>
    <sheet state="visible" name="Resource routing" sheetId="6" r:id="rId9"/>
    <sheet state="visible" name="Makers Memo" sheetId="7" r:id="rId10"/>
  </sheets>
  <definedNames/>
  <calcPr/>
  <extLst>
    <ext uri="GoogleSheetsCustomDataVersion2">
      <go:sheetsCustomData xmlns:go="http://customooxmlschemas.google.com/" r:id="rId11" roundtripDataChecksum="5Uq4qNQlrqrNMsTiWZCeTWx4pIy+JSVHv7I1AXIL1u8="/>
    </ext>
  </extLst>
</workbook>
</file>

<file path=xl/sharedStrings.xml><?xml version="1.0" encoding="utf-8"?>
<sst xmlns="http://schemas.openxmlformats.org/spreadsheetml/2006/main" count="938" uniqueCount="430">
  <si>
    <t>Makers Memo</t>
  </si>
  <si>
    <t>Diagnostic workbook — hideaway.</t>
  </si>
  <si>
    <t>What this is</t>
  </si>
  <si>
    <t>A diagnostic assessing where someone is in their maker journey across three stages: Download, Idea, Creation. 36 questions, bespoke 4-option ladders, weighted scoring, pattern detection, and item-level routing to hideaway. resources.</t>
  </si>
  <si>
    <t>What it is not</t>
  </si>
  <si>
    <t>A personality quiz. No archetypes. No vibes. Respondents never see scores during the diagnostic.</t>
  </si>
  <si>
    <t>How to test it</t>
  </si>
  <si>
    <t>Open the Question bank sheet. Pick a response (1–4) in column N for each question. Scores flow to Scoring, Patterns, and Makers Memo.</t>
  </si>
  <si>
    <t>Sheets in order</t>
  </si>
  <si>
    <t>1. How to use — this page.
2. Scale &amp; domains — what each stage measures.
3. Question bank — the 36 questions with bespoke options.
4. Scoring — subdomain, stage, and overall calculations.
5. Patterns — 8 named patterns with detection rules.
6. Resource routing — item-level routing map to hideaway. resources.
7. Makers Memo — the output document.</t>
  </si>
  <si>
    <t>Frameworks behind it</t>
  </si>
  <si>
    <t>Dreyfus skill acquisition model — shapes the 4-option progression in every question.
COM-B behaviour model (Michie) — every question tagged Capability, Opportunity, or Motivation for routing logic.
Double Diamond — subdomains marked divergent or convergent.
Ahrens/Zettelkasten — shapes Download behavioural granularity.
Zimmerman self-regulated learning — shapes Iteration subdomain and retake framing.
None of these are named to the respondent. They sit behind the diagnostic as internal scaffolding.</t>
  </si>
  <si>
    <t>Weighting</t>
  </si>
  <si>
    <t>Each subdomain has 3 questions. Within the subdomain: reflective opener at 0.8, standard direct at 1.0, most diagnostic at 1.2. Subdomain weight totals 3.0. Stage weights: 0.33 Download, 0.33 Idea, 0.34 Creation.</t>
  </si>
  <si>
    <t>Retake mechanic</t>
  </si>
  <si>
    <t>Subdomain granularity is the point. When a respondent retakes in 3–6 months, compare subdomain scores — not just stage. Behavioural phrasing ("how often you actually...") is used deliberately so the instrument can detect real change rather than mood or self-concept.</t>
  </si>
  <si>
    <t>Scale &amp; domains</t>
  </si>
  <si>
    <t>Response scale</t>
  </si>
  <si>
    <t>Score</t>
  </si>
  <si>
    <t>What it means</t>
  </si>
  <si>
    <t>1</t>
  </si>
  <si>
    <t>Not true of me yet — or I don't recognise this behaviour in my practice</t>
  </si>
  <si>
    <t>2</t>
  </si>
  <si>
    <t>Early — it's starting to happen but inconsistently</t>
  </si>
  <si>
    <t>3</t>
  </si>
  <si>
    <t>Working — it happens often enough to be reliable</t>
  </si>
  <si>
    <t>4</t>
  </si>
  <si>
    <t>Established — it's part of how I work, on purpose</t>
  </si>
  <si>
    <t>Stages</t>
  </si>
  <si>
    <t>Stage</t>
  </si>
  <si>
    <t>Weight</t>
  </si>
  <si>
    <t>Questions</t>
  </si>
  <si>
    <t>Purpose</t>
  </si>
  <si>
    <t>Low score</t>
  </si>
  <si>
    <t>High score</t>
  </si>
  <si>
    <t>Shape</t>
  </si>
  <si>
    <t>Download</t>
  </si>
  <si>
    <t>Capturing, noticing, organising, selecting raw material</t>
  </si>
  <si>
    <t>Inputs get lost, buried, or never revisited</t>
  </si>
  <si>
    <t>Useful material is captured and easy to return to</t>
  </si>
  <si>
    <t>Diverge → Converge</t>
  </si>
  <si>
    <t>Idea</t>
  </si>
  <si>
    <t>Shaping, testing, clarifying, deciding what to build</t>
  </si>
  <si>
    <t>Concepts stay vague or drift</t>
  </si>
  <si>
    <t>Ideas become specific enough to judge and choose</t>
  </si>
  <si>
    <t>Creation</t>
  </si>
  <si>
    <t>Building, finishing, releasing, iterating</t>
  </si>
  <si>
    <t>Work starts but rarely becomes useful output</t>
  </si>
  <si>
    <t>Ideas become things and keep improving</t>
  </si>
  <si>
    <t>Subdomains</t>
  </si>
  <si>
    <t>Subdomain</t>
  </si>
  <si>
    <t>Divergent / Convergent</t>
  </si>
  <si>
    <t>Capture habit</t>
  </si>
  <si>
    <t>Divergent</t>
  </si>
  <si>
    <t>D01, D02, D03</t>
  </si>
  <si>
    <t>Pattern awareness</t>
  </si>
  <si>
    <t>D04, D05, D06</t>
  </si>
  <si>
    <t>Organisation</t>
  </si>
  <si>
    <t>Convergent</t>
  </si>
  <si>
    <t>D07, D08, D09</t>
  </si>
  <si>
    <t>Selection</t>
  </si>
  <si>
    <t>D10, D11, D12</t>
  </si>
  <si>
    <t>Concept formation</t>
  </si>
  <si>
    <t>I01, I02, I03</t>
  </si>
  <si>
    <t>Pressure testing</t>
  </si>
  <si>
    <t>I04, I05, I06</t>
  </si>
  <si>
    <t>Purpose clarity</t>
  </si>
  <si>
    <t>I07, I08, I09</t>
  </si>
  <si>
    <t>Decision making</t>
  </si>
  <si>
    <t>I10, I11, I12</t>
  </si>
  <si>
    <t>Translation into action</t>
  </si>
  <si>
    <t>C01, C02, C03</t>
  </si>
  <si>
    <t>Tool fluency</t>
  </si>
  <si>
    <t>C04, C05, C06</t>
  </si>
  <si>
    <t>Completion and release</t>
  </si>
  <si>
    <t>C07, C08, C09</t>
  </si>
  <si>
    <t>Iteration</t>
  </si>
  <si>
    <t>C10, C11, C12</t>
  </si>
  <si>
    <t>Question bank</t>
  </si>
  <si>
    <t>Enter response 1–4 in column N. Weighted score in column O calculates automatically.</t>
  </si>
  <si>
    <t>Q#</t>
  </si>
  <si>
    <t>Type</t>
  </si>
  <si>
    <t>COM-B</t>
  </si>
  <si>
    <t>Stem</t>
  </si>
  <si>
    <t>Option 1 (score 1)</t>
  </si>
  <si>
    <t>Option 2 (score 2)</t>
  </si>
  <si>
    <t>Option 3 (score 3)</t>
  </si>
  <si>
    <t>Option 4 (score 4)</t>
  </si>
  <si>
    <t>Resource tag</t>
  </si>
  <si>
    <t>Response</t>
  </si>
  <si>
    <t>Weighted score</t>
  </si>
  <si>
    <t>D01</t>
  </si>
  <si>
    <t>Reflective</t>
  </si>
  <si>
    <t>Capability</t>
  </si>
  <si>
    <t>Think about the last time a useful idea showed up — in conversation, reading, on a walk. What happened to it?</t>
  </si>
  <si>
    <t>It came and went; I didn't catch it</t>
  </si>
  <si>
    <t>I remembered roughly what it was but not the specifics</t>
  </si>
  <si>
    <t>I captured the gist somewhere but it's probably lost its edge</t>
  </si>
  <si>
    <t>I captured it cleanly, in a form I can still return to and understand</t>
  </si>
  <si>
    <t>capture-101</t>
  </si>
  <si>
    <t>D02</t>
  </si>
  <si>
    <t>Direct</t>
  </si>
  <si>
    <t>Opportunity</t>
  </si>
  <si>
    <t>Where raw ideas actually go when you have them.</t>
  </si>
  <si>
    <t>There's no real place — they stay in my head or get lost</t>
  </si>
  <si>
    <t>They land in several scattered places I rarely consolidate</t>
  </si>
  <si>
    <t>They mostly go to one place, though sometimes I default to another</t>
  </si>
  <si>
    <t>One dependable place I trust to find them in again</t>
  </si>
  <si>
    <t>capture-system</t>
  </si>
  <si>
    <t>D03</t>
  </si>
  <si>
    <t>Motivation</t>
  </si>
  <si>
    <t>When something worth capturing slips past you, the usual reason is:</t>
  </si>
  <si>
    <t>I didn't notice it was worth capturing until later</t>
  </si>
  <si>
    <t>I noticed but told myself I'd remember — and didn't</t>
  </si>
  <si>
    <t>I noticed but capturing in the moment felt like too much friction</t>
  </si>
  <si>
    <t>This doesn't really happen; capture is a reflex now</t>
  </si>
  <si>
    <t>capture-practice</t>
  </si>
  <si>
    <t>D04</t>
  </si>
  <si>
    <t>Looking across what you've captured recently — notes, voice memos, fragments:</t>
  </si>
  <si>
    <t>I can't really look; it's too scattered or I haven't opened it</t>
  </si>
  <si>
    <t>I can see it but it's a jumble; nothing stands out as connected</t>
  </si>
  <si>
    <t>I can spot a few themes when I look carefully</t>
  </si>
  <si>
    <t>I can name the threads that keep appearing and point to where</t>
  </si>
  <si>
    <t>pattern-spotting</t>
  </si>
  <si>
    <t>D05</t>
  </si>
  <si>
    <t>How often you actually revisit what you've captured.</t>
  </si>
  <si>
    <t>Almost never — things go in and stay there</t>
  </si>
  <si>
    <t>Only when I'm looking for something specific</t>
  </si>
  <si>
    <t>Occasionally, without a real rhythm</t>
  </si>
  <si>
    <t>On a regular rhythm I return to — weekly or similar</t>
  </si>
  <si>
    <t>review-rhythm</t>
  </si>
  <si>
    <t>D06</t>
  </si>
  <si>
    <t>When you spot the same idea appearing in several of your notes:</t>
  </si>
  <si>
    <t>I leave it alone — it feels like extra work</t>
  </si>
  <si>
    <t>I notice it but don't do anything with it</t>
  </si>
  <si>
    <t>I sometimes pull the threads together when the mood strikes</t>
  </si>
  <si>
    <t>I treat it as a signal worth working on and refine it into something new</t>
  </si>
  <si>
    <t>synthesis-practice</t>
  </si>
  <si>
    <t>D07</t>
  </si>
  <si>
    <t>When you go looking for something you captured three months ago:</t>
  </si>
  <si>
    <t>I usually can't find it — or don't bother trying</t>
  </si>
  <si>
    <t>I can sometimes find it if I remember roughly where I put it</t>
  </si>
  <si>
    <t>I can find it, though it takes some digging</t>
  </si>
  <si>
    <t>I can find it in under a minute because my system supports it</t>
  </si>
  <si>
    <t>findability</t>
  </si>
  <si>
    <t>D08</t>
  </si>
  <si>
    <t>The way your captured material is grouped or tagged.</t>
  </si>
  <si>
    <t>It isn't — everything sits in one undifferentiated pile</t>
  </si>
  <si>
    <t>Some of it is grouped loosely but inconsistently</t>
  </si>
  <si>
    <t>Most of it is grouped in a way that mostly works</t>
  </si>
  <si>
    <t>Grouped deliberately, in a way that makes retrieval and connection easier</t>
  </si>
  <si>
    <t>grouping-taxonomy</t>
  </si>
  <si>
    <t>D09</t>
  </si>
  <si>
    <t>Your relationship to your capture system right now.</t>
  </si>
  <si>
    <t>It feels chaotic and I avoid looking at it</t>
  </si>
  <si>
    <t>It's functional but I'm aware it's drifting</t>
  </si>
  <si>
    <t>It works well enough that I keep using it</t>
  </si>
  <si>
    <t>I actively maintain it because I know its value compounds</t>
  </si>
  <si>
    <t>system-maintenance</t>
  </si>
  <si>
    <t>D10</t>
  </si>
  <si>
    <t>When you look at a month of captured ideas and have to choose which deserves real work:</t>
  </si>
  <si>
    <t>I can't tell which matter most; they all feel equivalent</t>
  </si>
  <si>
    <t>I pick based on what excites me most in that moment</t>
  </si>
  <si>
    <t>I can usually identify two or three with more weight than the others</t>
  </si>
  <si>
    <t>I can name why each promising one is promising, and why the others aren't</t>
  </si>
  <si>
    <t>selection-criteria</t>
  </si>
  <si>
    <t>D11</t>
  </si>
  <si>
    <t>The gap between what you've captured and what you've actually pursued.</t>
  </si>
  <si>
    <t>Vast — collection is easier than pursuit, and I feel the weight of it</t>
  </si>
  <si>
    <t>Large — I have a backlog of ideas I've never touched again</t>
  </si>
  <si>
    <t>Moderate — I pursue some, let most rest</t>
  </si>
  <si>
    <t>Deliberate — I let ideas rest on purpose, and return to some with clearer intent</t>
  </si>
  <si>
    <t>backlog-management</t>
  </si>
  <si>
    <t>D12</t>
  </si>
  <si>
    <t>The way you move from many captured ideas to the one that gets worked on.</t>
  </si>
  <si>
    <t>No process — I pick whatever's loudest on the day</t>
  </si>
  <si>
    <t>I pick but often regret the pick later</t>
  </si>
  <si>
    <t>I have a rough way of working through candidates</t>
  </si>
  <si>
    <t>I have a method I trust, and I use it regularly</t>
  </si>
  <si>
    <t>selection-method</t>
  </si>
  <si>
    <t>I01</t>
  </si>
  <si>
    <t>Think of a recent idea of yours. Could you describe what it actually is to someone outside your head?</t>
  </si>
  <si>
    <t>Not really — it's still a feeling or a flash</t>
  </si>
  <si>
    <t>Roughly, but I'd struggle to make it specific</t>
  </si>
  <si>
    <t>Yes, with some effort and a few false starts</t>
  </si>
  <si>
    <t>Yes, in a way they'd recognise and could question</t>
  </si>
  <si>
    <t>concept-articulation</t>
  </si>
  <si>
    <t>I02</t>
  </si>
  <si>
    <t>Turning a rough thought into something specific.</t>
  </si>
  <si>
    <t>It tends to stay rough; I'm not sure how to sharpen it</t>
  </si>
  <si>
    <t>I can sharpen it but it loses something in the process</t>
  </si>
  <si>
    <t>I can sharpen it while keeping what made it interesting</t>
  </si>
  <si>
    <t>Sharpening is part of how I develop ideas; I do it as I go</t>
  </si>
  <si>
    <t>concept-sharpening</t>
  </si>
  <si>
    <t>I03</t>
  </si>
  <si>
    <t>Finding the real problem underneath an idea.</t>
  </si>
  <si>
    <t>I'm usually working with the surface version of the problem</t>
  </si>
  <si>
    <t>I can see there's something deeper but can't quite get to it</t>
  </si>
  <si>
    <t>I can dig under the surface with effort and time</t>
  </si>
  <si>
    <t>I instinctively look for the problem underneath, not the brief on top</t>
  </si>
  <si>
    <t>problem-excavation</t>
  </si>
  <si>
    <t>I04</t>
  </si>
  <si>
    <t>Think about the last idea you got excited about. How soon did you try to find what was wrong with it?</t>
  </si>
  <si>
    <t>I didn't — challenging it felt like spoiling it</t>
  </si>
  <si>
    <t>Much later, after I'd already sunk time into it</t>
  </si>
  <si>
    <t>At some point, once the excitement settled</t>
  </si>
  <si>
    <t>Early — finding the weaknesses is how I know whether it's real</t>
  </si>
  <si>
    <t>pressure-test-practice</t>
  </si>
  <si>
    <t>I05</t>
  </si>
  <si>
    <t>The methods you have for testing whether an idea is actually useful.</t>
  </si>
  <si>
    <t>None really — I just keep thinking about it</t>
  </si>
  <si>
    <t>I ask a few people I know, informally</t>
  </si>
  <si>
    <t>I've got a couple of go-to ways to get external input</t>
  </si>
  <si>
    <t>I have a toolkit I use — examples, tests, people, evidence paths</t>
  </si>
  <si>
    <t>validation-frameworks</t>
  </si>
  <si>
    <t>I06</t>
  </si>
  <si>
    <t>The way you compare your idea against alternatives that already exist.</t>
  </si>
  <si>
    <t>I don't really compare — I focus on my own version</t>
  </si>
  <si>
    <t>I do a quick search if I remember</t>
  </si>
  <si>
    <t>I have a habit of scanning the landscape before committing</t>
  </si>
  <si>
    <t>I use a repeatable method — tools, lists, examples — to map what's out there</t>
  </si>
  <si>
    <t>competitive-mapping</t>
  </si>
  <si>
    <t>I07</t>
  </si>
  <si>
    <t>If someone asks who your idea is for, can you answer without hedging?</t>
  </si>
  <si>
    <t>Not really — I tend to say it's for a lot of people</t>
  </si>
  <si>
    <t>I can name a broad group but not a specific person</t>
  </si>
  <si>
    <t>I can describe a specific kind of person clearly</t>
  </si>
  <si>
    <t>I can name the person, their situation, and why they'd care</t>
  </si>
  <si>
    <t>audience-specificity</t>
  </si>
  <si>
    <t>I08</t>
  </si>
  <si>
    <t>Explaining the value of the idea in plain language.</t>
  </si>
  <si>
    <t>Mine comes out tangled or abstract</t>
  </si>
  <si>
    <t>It's okay but uses language that loses most people</t>
  </si>
  <si>
    <t>I can say it plainly but it still feels incomplete</t>
  </si>
  <si>
    <t>I can say it plainly and it lands — people recognise the problem</t>
  </si>
  <si>
    <t>plain-language-value</t>
  </si>
  <si>
    <t>I09</t>
  </si>
  <si>
    <t>An idea that sounds interesting but doesn't have a clear purpose.</t>
  </si>
  <si>
    <t>I tend to build it anyway because it's interesting</t>
  </si>
  <si>
    <t>I build it but start doubting halfway through</t>
  </si>
  <si>
    <t>I notice the purpose problem and try to locate it before building</t>
  </si>
  <si>
    <t>I hold it as unfinished thinking and don't confuse it with a buildable idea</t>
  </si>
  <si>
    <t>interest-vs-purpose</t>
  </si>
  <si>
    <t>I10</t>
  </si>
  <si>
    <t>The last time you had to pick between two ideas worth doing:</t>
  </si>
  <si>
    <t>I kept deferring the decision and nothing moved</t>
  </si>
  <si>
    <t>I picked the one that felt easier or louder in the moment</t>
  </si>
  <si>
    <t>I picked based on rough reasoning I could articulate afterwards</t>
  </si>
  <si>
    <t>I picked using a clear set of criteria I trust</t>
  </si>
  <si>
    <t>decision-criteria</t>
  </si>
  <si>
    <t>I11</t>
  </si>
  <si>
    <t>Stopping work on an idea that isn't strong enough.</t>
  </si>
  <si>
    <t>I struggle to stop — I keep trying to rescue it</t>
  </si>
  <si>
    <t>I stop eventually but it costs me more time than it should</t>
  </si>
  <si>
    <t>I can stop when I see it clearly, even if reluctantly</t>
  </si>
  <si>
    <t>I treat stopping as part of the work; the sunk time isn't wasted</t>
  </si>
  <si>
    <t>sunk-cost-release</t>
  </si>
  <si>
    <t>I12</t>
  </si>
  <si>
    <t>Knowing when an idea is ready to move into building.</t>
  </si>
  <si>
    <t>I'm never sure; I tend to keep thinking or just launch anyway</t>
  </si>
  <si>
    <t>I move when I feel ready, which is sometimes too early or too late</t>
  </si>
  <si>
    <t>I have rough markers I look for before I commit to building</t>
  </si>
  <si>
    <t>I have clear criteria for readiness and trust them</t>
  </si>
  <si>
    <t>readiness-criteria</t>
  </si>
  <si>
    <t>C01</t>
  </si>
  <si>
    <t>When a developed idea needs to become a first practical step:</t>
  </si>
  <si>
    <t>I stall — I can think about it but can't find where to start</t>
  </si>
  <si>
    <t>I find a start, but often the wrong one, and loop back</t>
  </si>
  <si>
    <t>I can usually find a reasonable first step</t>
  </si>
  <si>
    <t>I find the smallest useful first step and commit to it quickly</t>
  </si>
  <si>
    <t>first-step-design</t>
  </si>
  <si>
    <t>C02</t>
  </si>
  <si>
    <t>Breaking an idea into buildable parts.</t>
  </si>
  <si>
    <t>I can't see the parts — it still feels like one big thing</t>
  </si>
  <si>
    <t>I can break it down but the parts feel arbitrary</t>
  </si>
  <si>
    <t>I can break it into a rough sequence that works</t>
  </si>
  <si>
    <t>I break it into parts where each one is buildable and testable on its own</t>
  </si>
  <si>
    <t>breakdown-frameworks</t>
  </si>
  <si>
    <t>C03</t>
  </si>
  <si>
    <t>Starting to build before every detail is clear.</t>
  </si>
  <si>
    <t>I wait for clarity that rarely arrives</t>
  </si>
  <si>
    <t>I start but get stuck at the first ambiguity</t>
  </si>
  <si>
    <t>I can start with partial clarity and figure it out as I go</t>
  </si>
  <si>
    <t>Starting with partial clarity is how I get clarity</t>
  </si>
  <si>
    <t>momentum-over-certainty</t>
  </si>
  <si>
    <t>C04</t>
  </si>
  <si>
    <t>The tools you have at your disposal for making:</t>
  </si>
  <si>
    <t>Limited — I work with what I have, and it often doesn't quite fit</t>
  </si>
  <si>
    <t>Enough for basics but I'm often reaching for something I don't have</t>
  </si>
  <si>
    <t>Mostly good — I have what I need for the work I do</t>
  </si>
  <si>
    <t>Well-stocked and deliberate — my tools actively support what I make</t>
  </si>
  <si>
    <t>tool-selection</t>
  </si>
  <si>
    <t>C05</t>
  </si>
  <si>
    <t>Using AI tools to make real progress on what you're building.</t>
  </si>
  <si>
    <t>I've barely used them or don't know where to start</t>
  </si>
  <si>
    <t>I use them for small bits but don't trust them for the real work</t>
  </si>
  <si>
    <t>I use them confidently for parts of the build</t>
  </si>
  <si>
    <t>I direct them — they work to my instructions and I can tell when they're off</t>
  </si>
  <si>
    <t>ai-confidence</t>
  </si>
  <si>
    <t>C06</t>
  </si>
  <si>
    <t>When a new tool promises to help but you're already mid-build.</t>
  </si>
  <si>
    <t>I drop what I'm doing to try it</t>
  </si>
  <si>
    <t>I get distracted often enough that builds stall</t>
  </si>
  <si>
    <t>I can bookmark it and stay with the build most of the time</t>
  </si>
  <si>
    <t>I stay with the build; new tools wait until there's a reason to switch</t>
  </si>
  <si>
    <t>tool-discipline</t>
  </si>
  <si>
    <t>C07</t>
  </si>
  <si>
    <t>Think about what you've made in the last few months. What's the ratio of finished to unfinished?</t>
  </si>
  <si>
    <t>Mostly unfinished; I have more starts than endings</t>
  </si>
  <si>
    <t>About half and half; finishing is a struggle</t>
  </si>
  <si>
    <t>I finish more than I don't, though often later than I meant to</t>
  </si>
  <si>
    <t>I finish regularly; finishing is part of the practice, not the exception</t>
  </si>
  <si>
    <t>completion-practice</t>
  </si>
  <si>
    <t>C08</t>
  </si>
  <si>
    <t>Deciding when something is ready to share.</t>
  </si>
  <si>
    <t>I never feel it's ready; I keep polishing or hide it</t>
  </si>
  <si>
    <t>I decide based on whether I'm tired of it, which isn't the same thing</t>
  </si>
  <si>
    <t>I decide when it does what it needs to do, even if it could be better</t>
  </si>
  <si>
    <t>I have a clear definition of done for each thing and ship at that point</t>
  </si>
  <si>
    <t>definition-of-done</t>
  </si>
  <si>
    <t>C09</t>
  </si>
  <si>
    <t>Releasing work into the world.</t>
  </si>
  <si>
    <t>It stays in my drafts; release feels exposing</t>
  </si>
  <si>
    <t>I release sometimes but with significant reluctance</t>
  </si>
  <si>
    <t>I release when things are ready, without dragging it out</t>
  </si>
  <si>
    <t>I release consistently; each release teaches me something for the next</t>
  </si>
  <si>
    <t>release-readiness</t>
  </si>
  <si>
    <t>C10</t>
  </si>
  <si>
    <t>Think about the last thing you released. What did you learn from it?</t>
  </si>
  <si>
    <t>I haven't really thought about it — I moved on</t>
  </si>
  <si>
    <t>A vague sense of what worked or didn't, but nothing specific</t>
  </si>
  <si>
    <t>Two or three specific things I'd do differently</t>
  </si>
  <si>
    <t>Clear learning I've already applied to what I'm making now</t>
  </si>
  <si>
    <t>post-release-reflection</t>
  </si>
  <si>
    <t>C11</t>
  </si>
  <si>
    <t>The systems you have for getting feedback on what you've made.</t>
  </si>
  <si>
    <t>I don't seek it out; feedback arrives by chance or not at all</t>
  </si>
  <si>
    <t>I ask a few friends or people I trust, informally</t>
  </si>
  <si>
    <t>I have one or two reliable places I can test something</t>
  </si>
  <si>
    <t>I use a range of feedback channels deliberately for different kinds of work</t>
  </si>
  <si>
    <t>feedback-systems</t>
  </si>
  <si>
    <t>C12</t>
  </si>
  <si>
    <t>Keeping momentum after the first release.</t>
  </si>
  <si>
    <t>I rarely come back; the energy dissipates</t>
  </si>
  <si>
    <t>I come back if something pulls me — feedback, external need</t>
  </si>
  <si>
    <t>I plan the return before releasing, so momentum carries</t>
  </si>
  <si>
    <t>Release is mid-cycle, not the end; momentum is built in</t>
  </si>
  <si>
    <t>sustained-momentum</t>
  </si>
  <si>
    <t>Scoring</t>
  </si>
  <si>
    <t>Subdomain, stage, and overall scores. All formulas auto-calculate from the Question bank sheet.</t>
  </si>
  <si>
    <t>Subdomain scores</t>
  </si>
  <si>
    <t>Sum of weights</t>
  </si>
  <si>
    <t>Max possible</t>
  </si>
  <si>
    <t>Sum of weighted scores</t>
  </si>
  <si>
    <t>Score (0–100)</t>
  </si>
  <si>
    <t>Stage scores</t>
  </si>
  <si>
    <t>Stage score (0–100)</t>
  </si>
  <si>
    <t>Stage weight</t>
  </si>
  <si>
    <t>Weighted contribution</t>
  </si>
  <si>
    <t>G6:G9</t>
  </si>
  <si>
    <t>G10:G13</t>
  </si>
  <si>
    <t>G14:G17</t>
  </si>
  <si>
    <t>Overall score (0–100)</t>
  </si>
  <si>
    <t>Band</t>
  </si>
  <si>
    <t>Patterns</t>
  </si>
  <si>
    <t>8 patterns detected from stage scores. Decision tree runs top-down; first matching rule wins.</t>
  </si>
  <si>
    <t>Pattern</t>
  </si>
  <si>
    <t>Detection rule</t>
  </si>
  <si>
    <t>Best next move</t>
  </si>
  <si>
    <t>Even Maker</t>
  </si>
  <si>
    <t>H - L &lt;= 15</t>
  </si>
  <si>
    <t>Your stages are in balance. No single area is dominant and no single area is holding you back. This is the profile of a maker whose practice is coherent across capture, thinking, and making.</t>
  </si>
  <si>
    <t>Use the Memo to pick the subdomain with the lowest score and sharpen that one area without disrupting the rest.</t>
  </si>
  <si>
    <t>The Collector</t>
  </si>
  <si>
    <t>Download leads by 12+ over median AND 18+ over lowest</t>
  </si>
  <si>
    <t>You capture and notice more than most. The raw material is there. The gap is what happens after capture — shaping ideas and making things tends to trail what you've gathered.</t>
  </si>
  <si>
    <t>Move one captured idea all the way through Idea and Creation this month. Not several — one. Prove the pipeline works end to end.</t>
  </si>
  <si>
    <t>The Thinker</t>
  </si>
  <si>
    <t>Idea leads by 12+ over median AND 18+ over lowest</t>
  </si>
  <si>
    <t>You develop and pressure-test ideas further than most people will. The thinking is strong. The gap is what feeds the thinking (capture) and what happens after it (making).</t>
  </si>
  <si>
    <t>Pick a current idea and set a hard build date. Stop refining the thinking and start exposing the idea to the real work of making it.</t>
  </si>
  <si>
    <t>The Builder</t>
  </si>
  <si>
    <t>Creation leads by 12+ over median AND 18+ over lowest</t>
  </si>
  <si>
    <t>You make things. You finish and release where others stall. The risk is that you're building on thin material — not enough capture feeding in, not enough testing of whether the idea is right before you commit.</t>
  </si>
  <si>
    <t>Before the next build, spend a week in Download and Idea only. Capture widely. Pressure-test the next idea properly. Your building skill deserves better input.</t>
  </si>
  <si>
    <t>Stuck Upstream</t>
  </si>
  <si>
    <t>Creation &lt; 50 AND (Download + Idea) / 2 &gt;= 60</t>
  </si>
  <si>
    <t>Your capture and thinking are working. Your making is not. Ideas stay ideas. This is the most common maker pattern and also the most fixable — the gap is almost always about first-step-size, not ability.</t>
  </si>
  <si>
    <t>Pick the smallest possible first version of one idea and release it this week. The goal is to move through Creation once, badly, rather than think your way to a perfect version.</t>
  </si>
  <si>
    <t>Stuck Midstream</t>
  </si>
  <si>
    <t>Idea &lt; 50 AND Download &gt;= 55 AND Creation &gt;= 55</t>
  </si>
  <si>
    <t>You capture and you build — but the middle is skipped. This often produces work that starts well and then stops making sense, because the thinking wasn't done before the making began.</t>
  </si>
  <si>
    <t>Before your next build, write a concept note that answers three questions: what is this, who is it for, and what's the real problem underneath it. Then check whether the build still makes sense.</t>
  </si>
  <si>
    <t>Rushed Maker</t>
  </si>
  <si>
    <t>Download &lt; 50 AND Idea &gt;= 55 AND Creation &gt;= 55</t>
  </si>
  <si>
    <t>You think and you make. What you're missing is raw material. When Download is low, every new idea has to come from somewhere else — usually your own head, under pressure.</t>
  </si>
  <si>
    <t>Set up one capture channel this week and use it for fifteen days. Don't organise. Don't synthesise. Just catch what you notice. The input will change what you can make.</t>
  </si>
  <si>
    <t>Developing Maker</t>
  </si>
  <si>
    <t>Fallback — uneven profile that doesn't fit a named pattern</t>
  </si>
  <si>
    <t>Your profile is uneven but not sharply — you have real strengths and real gaps, but none dominant enough to name a single pattern. This is a common phase for someone whose practice is actively shifting.</t>
  </si>
  <si>
    <t>Read the subdomain scores rather than the stage scores. Your actual next move sits at subdomain level, not stage level.</t>
  </si>
  <si>
    <t>Decision tree (applied in order)</t>
  </si>
  <si>
    <t>1. If H - L ≤ 15 → Even Maker</t>
  </si>
  <si>
    <t>2. Else if H - M ≥ 12 AND H - L ≥ 18 → one of The Collector / The Thinker / The Builder (based on which stage is H)</t>
  </si>
  <si>
    <t>3. Else if L &lt; 50 AND (H + M)/2 ≥ 60 → one of Stuck Upstream / Stuck Midstream / Rushed Maker (based on which stage is L)</t>
  </si>
  <si>
    <t>4. Else → Developing Maker (fallback)</t>
  </si>
  <si>
    <t>Where H = highest stage score, M = median stage score, L = lowest stage score.</t>
  </si>
  <si>
    <t>Resource routing</t>
  </si>
  <si>
    <t>Item-level routing. Low scores on each question route to a specific resource tag, coloured by COM-B type.</t>
  </si>
  <si>
    <t>Capability = skill or knowledge gap → how-to guides, frameworks, walkthroughs.   Opportunity = environment or system gap → templates, tools, prompt packs.   Motivation = drive or valuing gap → reflections, reframes, essays.</t>
  </si>
  <si>
    <t>Resource type needed</t>
  </si>
  <si>
    <t>Notes for hideaway. resource build</t>
  </si>
  <si>
    <t>Build a how-to, walkthrough, or framework. User needs knowledge or skill scaffolding.</t>
  </si>
  <si>
    <t>Build a template, prompt pack, tool, or system. User needs infrastructure in place.</t>
  </si>
  <si>
    <t>Build a reflection, reframe, or short essay. User needs a shift in how they relate to the behaviour.</t>
  </si>
  <si>
    <t>The output document. This is a working draft — the real version lives on the web / as a PDF.</t>
  </si>
  <si>
    <t>Overall score</t>
  </si>
  <si>
    <t>Meaning</t>
  </si>
  <si>
    <t>Strongest subdomain</t>
  </si>
  <si>
    <t>Weakest subdomain</t>
  </si>
  <si>
    <t>What your pattern means</t>
  </si>
  <si>
    <t>Where to go next in hideaway.</t>
  </si>
  <si>
    <t>Resources prioritised by your weakest stage and any subdomain scoring below 50.</t>
  </si>
  <si>
    <t>Priority</t>
  </si>
  <si>
    <t>Suggested resource type</t>
  </si>
  <si>
    <t>Reflection or reframe (Motivation)</t>
  </si>
  <si>
    <t>Template, prompt pack, or tool (Opportunity)</t>
  </si>
  <si>
    <t>How-to guide or framework (Capability)</t>
  </si>
  <si>
    <t>Retake</t>
  </si>
  <si>
    <t>Retake this in 3–6 months. Compare subdomain scores, not just the overall number. Real change shows up at subdomain level first.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</si>
</sst>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8.0"/>
      <color rgb="FF1A2744"/>
      <name val="Calibri"/>
    </font>
    <font>
      <i/>
      <sz val="10.0"/>
      <color rgb="FF666666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3.0"/>
      <color rgb="FF1A2744"/>
      <name val="Calibri"/>
    </font>
    <font>
      <b/>
      <sz val="11.0"/>
      <color rgb="FFFFFFFF"/>
      <name val="Calibri"/>
    </font>
    <font>
      <sz val="10.0"/>
      <color rgb="FF555555"/>
      <name val="Calibri"/>
    </font>
    <font>
      <b/>
      <sz val="11.0"/>
      <color rgb="FF1A2744"/>
      <name val="Calibri"/>
    </font>
    <font>
      <b/>
      <sz val="22.0"/>
      <color rgb="FF1A2744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A2744"/>
        <bgColor rgb="FF1A2744"/>
      </patternFill>
    </fill>
    <fill>
      <patternFill patternType="solid">
        <fgColor rgb="FFEAF0E4"/>
        <bgColor rgb="FFEAF0E4"/>
      </patternFill>
    </fill>
    <fill>
      <patternFill patternType="solid">
        <fgColor rgb="FFE8F547"/>
        <bgColor rgb="FFE8F547"/>
      </patternFill>
    </fill>
    <fill>
      <patternFill patternType="solid">
        <fgColor rgb="FFFDFBE4"/>
        <bgColor rgb="FFFDFBE4"/>
      </patternFill>
    </fill>
    <fill>
      <patternFill patternType="solid">
        <fgColor rgb="FFF2EDE6"/>
        <bgColor rgb="FFF2EDE6"/>
      </patternFill>
    </fill>
    <fill>
      <patternFill patternType="solid">
        <fgColor rgb="FFD4CFC4"/>
        <bgColor rgb="FFD4CFC4"/>
      </patternFill>
    </fill>
    <fill>
      <patternFill patternType="solid">
        <fgColor rgb="FFE3ECF5"/>
        <bgColor rgb="FFE3ECF5"/>
      </patternFill>
    </fill>
    <fill>
      <patternFill patternType="solid">
        <fgColor rgb="FFF5E7D8"/>
        <bgColor rgb="FFF5E7D8"/>
      </patternFill>
    </fill>
    <fill>
      <patternFill patternType="solid">
        <fgColor rgb="FFF7F6F1"/>
        <bgColor rgb="FFF7F6F1"/>
      </patternFill>
    </fill>
  </fills>
  <borders count="3">
    <border/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horizontal="center" shrinkToFit="0" vertical="center" wrapText="0"/>
    </xf>
    <xf borderId="1" fillId="2" fontId="6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center" shrinkToFit="0" vertical="center" wrapText="0"/>
    </xf>
    <xf borderId="1" fillId="2" fontId="6" numFmtId="0" xfId="0" applyAlignment="1" applyBorder="1" applyFont="1">
      <alignment shrinkToFit="0" vertical="center" wrapText="1"/>
    </xf>
    <xf borderId="2" fillId="3" fontId="3" numFmtId="0" xfId="0" applyAlignment="1" applyBorder="1" applyFill="1" applyFont="1">
      <alignment horizontal="left" shrinkToFit="0" vertical="top" wrapText="1"/>
    </xf>
    <xf borderId="2" fillId="3" fontId="4" numFmtId="0" xfId="0" applyAlignment="1" applyBorder="1" applyFont="1">
      <alignment horizontal="left" shrinkToFit="0" vertical="top" wrapText="1"/>
    </xf>
    <xf borderId="2" fillId="3" fontId="7" numFmtId="0" xfId="0" applyAlignment="1" applyBorder="1" applyFont="1">
      <alignment horizontal="left" shrinkToFit="0" vertical="top" wrapText="1"/>
    </xf>
    <xf borderId="2" fillId="4" fontId="4" numFmtId="0" xfId="0" applyAlignment="1" applyBorder="1" applyFill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5" fontId="3" numFmtId="0" xfId="0" applyAlignment="1" applyBorder="1" applyFill="1" applyFont="1">
      <alignment horizontal="left" shrinkToFit="0" vertical="top" wrapText="1"/>
    </xf>
    <xf borderId="2" fillId="5" fontId="4" numFmtId="0" xfId="0" applyAlignment="1" applyBorder="1" applyFont="1">
      <alignment horizontal="left" shrinkToFit="0" vertical="top" wrapText="1"/>
    </xf>
    <xf borderId="2" fillId="5" fontId="7" numFmtId="0" xfId="0" applyAlignment="1" applyBorder="1" applyFont="1">
      <alignment horizontal="left" shrinkToFit="0" vertical="top" wrapText="1"/>
    </xf>
    <xf borderId="2" fillId="6" fontId="3" numFmtId="0" xfId="0" applyAlignment="1" applyBorder="1" applyFill="1" applyFont="1">
      <alignment horizontal="left" shrinkToFit="0" vertical="top" wrapText="1"/>
    </xf>
    <xf borderId="2" fillId="6" fontId="4" numFmtId="0" xfId="0" applyAlignment="1" applyBorder="1" applyFont="1">
      <alignment horizontal="left" shrinkToFit="0" vertical="top" wrapText="1"/>
    </xf>
    <xf borderId="2" fillId="6" fontId="7" numFmtId="0" xfId="0" applyAlignment="1" applyBorder="1" applyFont="1">
      <alignment horizontal="left" shrinkToFit="0" vertical="top" wrapText="1"/>
    </xf>
    <xf borderId="2" fillId="3" fontId="4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3" fontId="7" numFmtId="0" xfId="0" applyAlignment="1" applyBorder="1" applyFont="1">
      <alignment shrinkToFit="0" vertical="bottom" wrapText="0"/>
    </xf>
    <xf borderId="2" fillId="3" fontId="4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2" fillId="5" fontId="4" numFmtId="0" xfId="0" applyAlignment="1" applyBorder="1" applyFont="1">
      <alignment shrinkToFit="0" vertical="bottom" wrapText="0"/>
    </xf>
    <xf borderId="2" fillId="5" fontId="3" numFmtId="0" xfId="0" applyAlignment="1" applyBorder="1" applyFont="1">
      <alignment shrinkToFit="0" vertical="bottom" wrapText="0"/>
    </xf>
    <xf borderId="2" fillId="5" fontId="7" numFmtId="0" xfId="0" applyAlignment="1" applyBorder="1" applyFont="1">
      <alignment shrinkToFit="0" vertical="bottom" wrapText="0"/>
    </xf>
    <xf borderId="2" fillId="5" fontId="4" numFmtId="0" xfId="0" applyAlignment="1" applyBorder="1" applyFont="1">
      <alignment horizontal="center" shrinkToFit="0" vertical="center" wrapText="0"/>
    </xf>
    <xf borderId="2" fillId="5" fontId="3" numFmtId="0" xfId="0" applyAlignment="1" applyBorder="1" applyFont="1">
      <alignment horizontal="center" shrinkToFit="0" vertical="center" wrapText="0"/>
    </xf>
    <xf borderId="2" fillId="6" fontId="4" numFmtId="0" xfId="0" applyAlignment="1" applyBorder="1" applyFont="1">
      <alignment shrinkToFit="0" vertical="bottom" wrapText="0"/>
    </xf>
    <xf borderId="2" fillId="6" fontId="3" numFmtId="0" xfId="0" applyAlignment="1" applyBorder="1" applyFont="1">
      <alignment shrinkToFit="0" vertical="bottom" wrapText="0"/>
    </xf>
    <xf borderId="2" fillId="6" fontId="7" numFmtId="0" xfId="0" applyAlignment="1" applyBorder="1" applyFont="1">
      <alignment shrinkToFit="0" vertical="bottom" wrapText="0"/>
    </xf>
    <xf borderId="2" fillId="6" fontId="4" numFmtId="0" xfId="0" applyAlignment="1" applyBorder="1" applyFont="1">
      <alignment horizontal="center" shrinkToFit="0" vertical="center" wrapText="0"/>
    </xf>
    <xf borderId="2" fillId="6" fontId="3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2" fillId="4" fontId="9" numFmtId="0" xfId="0" applyAlignment="1" applyBorder="1" applyFont="1">
      <alignment horizontal="center" shrinkToFit="0" vertical="center" wrapText="0"/>
    </xf>
    <xf borderId="2" fillId="7" fontId="3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left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8" fontId="3" numFmtId="0" xfId="0" applyAlignment="1" applyBorder="1" applyFill="1" applyFont="1">
      <alignment horizontal="left" shrinkToFit="0" vertical="top" wrapText="1"/>
    </xf>
    <xf borderId="2" fillId="9" fontId="3" numFmtId="0" xfId="0" applyAlignment="1" applyBorder="1" applyFill="1" applyFont="1">
      <alignment horizontal="left" shrinkToFit="0" vertical="top" wrapText="1"/>
    </xf>
    <xf borderId="1" fillId="7" fontId="8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shrinkToFit="0" vertical="bottom" wrapText="0"/>
    </xf>
    <xf borderId="2" fillId="10" fontId="9" numFmtId="0" xfId="0" applyAlignment="1" applyBorder="1" applyFill="1" applyFont="1">
      <alignment horizontal="center" shrinkToFit="0" vertical="center" wrapText="0"/>
    </xf>
    <xf borderId="2" fillId="10" fontId="5" numFmtId="0" xfId="0" applyAlignment="1" applyBorder="1" applyFont="1">
      <alignment horizontal="center" shrinkToFit="0" vertical="center" wrapText="0"/>
    </xf>
    <xf borderId="2" fillId="4" fontId="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95.0"/>
    <col customWidth="1" min="3" max="26" width="8.71"/>
  </cols>
  <sheetData>
    <row r="1" ht="27.75" customHeight="1">
      <c r="A1" s="1" t="s">
        <v>0</v>
      </c>
    </row>
    <row r="2">
      <c r="A2" s="2" t="s">
        <v>1</v>
      </c>
    </row>
    <row r="3">
      <c r="A3" s="3"/>
      <c r="B3" s="4"/>
    </row>
    <row r="4" ht="31.5" customHeight="1">
      <c r="A4" s="3" t="s">
        <v>2</v>
      </c>
      <c r="B4" s="4" t="s">
        <v>3</v>
      </c>
    </row>
    <row r="5" ht="19.5" customHeight="1">
      <c r="A5" s="3" t="s">
        <v>4</v>
      </c>
      <c r="B5" s="4" t="s">
        <v>5</v>
      </c>
    </row>
    <row r="6" ht="19.5" customHeight="1">
      <c r="A6" s="3" t="s">
        <v>6</v>
      </c>
      <c r="B6" s="4" t="s">
        <v>7</v>
      </c>
    </row>
    <row r="7" ht="159.75" customHeight="1">
      <c r="A7" s="3" t="s">
        <v>8</v>
      </c>
      <c r="B7" s="4" t="s">
        <v>9</v>
      </c>
    </row>
    <row r="8" ht="175.5" customHeight="1">
      <c r="A8" s="3" t="s">
        <v>10</v>
      </c>
      <c r="B8" s="4" t="s">
        <v>11</v>
      </c>
    </row>
    <row r="9" ht="31.5" customHeight="1">
      <c r="A9" s="3" t="s">
        <v>12</v>
      </c>
      <c r="B9" s="4" t="s">
        <v>13</v>
      </c>
    </row>
    <row r="10" ht="48.0" customHeight="1">
      <c r="A10" s="3" t="s">
        <v>14</v>
      </c>
      <c r="B10" s="4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49.0"/>
    <col customWidth="1" min="3" max="3" width="21.14"/>
    <col customWidth="1" min="4" max="4" width="38.0"/>
    <col customWidth="1" min="5" max="6" width="32.0"/>
    <col customWidth="1" min="7" max="7" width="20.0"/>
    <col customWidth="1" min="8" max="26" width="8.71"/>
  </cols>
  <sheetData>
    <row r="1" ht="27.75" customHeight="1">
      <c r="A1" s="1" t="s">
        <v>16</v>
      </c>
    </row>
    <row r="3">
      <c r="A3" s="5" t="s">
        <v>17</v>
      </c>
    </row>
    <row r="4">
      <c r="A4" s="6" t="s">
        <v>18</v>
      </c>
      <c r="B4" s="7" t="s">
        <v>19</v>
      </c>
    </row>
    <row r="5">
      <c r="A5" s="8" t="s">
        <v>20</v>
      </c>
      <c r="B5" s="4" t="s">
        <v>21</v>
      </c>
    </row>
    <row r="6">
      <c r="A6" s="8" t="s">
        <v>22</v>
      </c>
      <c r="B6" s="4" t="s">
        <v>23</v>
      </c>
    </row>
    <row r="7">
      <c r="A7" s="8" t="s">
        <v>24</v>
      </c>
      <c r="B7" s="4" t="s">
        <v>25</v>
      </c>
    </row>
    <row r="8">
      <c r="A8" s="8" t="s">
        <v>26</v>
      </c>
      <c r="B8" s="4" t="s">
        <v>27</v>
      </c>
    </row>
    <row r="11">
      <c r="A11" s="5" t="s">
        <v>28</v>
      </c>
    </row>
    <row r="12" ht="21.75" customHeight="1">
      <c r="A12" s="9" t="s">
        <v>29</v>
      </c>
      <c r="B12" s="9" t="s">
        <v>30</v>
      </c>
      <c r="C12" s="9" t="s">
        <v>31</v>
      </c>
      <c r="D12" s="9" t="s">
        <v>32</v>
      </c>
      <c r="E12" s="9" t="s">
        <v>33</v>
      </c>
      <c r="F12" s="9" t="s">
        <v>34</v>
      </c>
      <c r="G12" s="9" t="s">
        <v>35</v>
      </c>
    </row>
    <row r="13" ht="31.5" customHeight="1">
      <c r="A13" s="4" t="s">
        <v>36</v>
      </c>
      <c r="B13" s="4">
        <v>0.33</v>
      </c>
      <c r="C13" s="4">
        <v>12.0</v>
      </c>
      <c r="D13" s="4" t="s">
        <v>37</v>
      </c>
      <c r="E13" s="4" t="s">
        <v>38</v>
      </c>
      <c r="F13" s="4" t="s">
        <v>39</v>
      </c>
      <c r="G13" s="4" t="s">
        <v>40</v>
      </c>
    </row>
    <row r="14" ht="31.5" customHeight="1">
      <c r="A14" s="4" t="s">
        <v>41</v>
      </c>
      <c r="B14" s="4">
        <v>0.33</v>
      </c>
      <c r="C14" s="4">
        <v>12.0</v>
      </c>
      <c r="D14" s="4" t="s">
        <v>42</v>
      </c>
      <c r="E14" s="4" t="s">
        <v>43</v>
      </c>
      <c r="F14" s="4" t="s">
        <v>44</v>
      </c>
      <c r="G14" s="4" t="s">
        <v>40</v>
      </c>
    </row>
    <row r="15" ht="31.5" customHeight="1">
      <c r="A15" s="4" t="s">
        <v>45</v>
      </c>
      <c r="B15" s="4">
        <v>0.34</v>
      </c>
      <c r="C15" s="4">
        <v>12.0</v>
      </c>
      <c r="D15" s="4" t="s">
        <v>46</v>
      </c>
      <c r="E15" s="4" t="s">
        <v>47</v>
      </c>
      <c r="F15" s="4" t="s">
        <v>48</v>
      </c>
      <c r="G15" s="4" t="s">
        <v>40</v>
      </c>
    </row>
    <row r="18">
      <c r="A18" s="5" t="s">
        <v>49</v>
      </c>
    </row>
    <row r="19" ht="36.0" customHeight="1">
      <c r="A19" s="9" t="s">
        <v>29</v>
      </c>
      <c r="B19" s="9" t="s">
        <v>50</v>
      </c>
      <c r="C19" s="9" t="s">
        <v>51</v>
      </c>
      <c r="D19" s="9" t="s">
        <v>31</v>
      </c>
    </row>
    <row r="20">
      <c r="A20" s="4" t="s">
        <v>36</v>
      </c>
      <c r="B20" s="3" t="s">
        <v>52</v>
      </c>
      <c r="C20" s="4" t="s">
        <v>53</v>
      </c>
      <c r="D20" s="4" t="s">
        <v>54</v>
      </c>
    </row>
    <row r="21" ht="15.75" customHeight="1">
      <c r="A21" s="4" t="s">
        <v>36</v>
      </c>
      <c r="B21" s="3" t="s">
        <v>55</v>
      </c>
      <c r="C21" s="4" t="s">
        <v>53</v>
      </c>
      <c r="D21" s="4" t="s">
        <v>56</v>
      </c>
    </row>
    <row r="22" ht="15.75" customHeight="1">
      <c r="A22" s="4" t="s">
        <v>36</v>
      </c>
      <c r="B22" s="3" t="s">
        <v>57</v>
      </c>
      <c r="C22" s="4" t="s">
        <v>58</v>
      </c>
      <c r="D22" s="4" t="s">
        <v>59</v>
      </c>
    </row>
    <row r="23" ht="15.75" customHeight="1">
      <c r="A23" s="4" t="s">
        <v>36</v>
      </c>
      <c r="B23" s="3" t="s">
        <v>60</v>
      </c>
      <c r="C23" s="4" t="s">
        <v>58</v>
      </c>
      <c r="D23" s="4" t="s">
        <v>61</v>
      </c>
    </row>
    <row r="24" ht="15.75" customHeight="1">
      <c r="A24" s="4" t="s">
        <v>41</v>
      </c>
      <c r="B24" s="3" t="s">
        <v>62</v>
      </c>
      <c r="C24" s="4" t="s">
        <v>53</v>
      </c>
      <c r="D24" s="4" t="s">
        <v>63</v>
      </c>
    </row>
    <row r="25" ht="15.75" customHeight="1">
      <c r="A25" s="4" t="s">
        <v>41</v>
      </c>
      <c r="B25" s="3" t="s">
        <v>64</v>
      </c>
      <c r="C25" s="4" t="s">
        <v>53</v>
      </c>
      <c r="D25" s="4" t="s">
        <v>65</v>
      </c>
    </row>
    <row r="26" ht="15.75" customHeight="1">
      <c r="A26" s="4" t="s">
        <v>41</v>
      </c>
      <c r="B26" s="3" t="s">
        <v>66</v>
      </c>
      <c r="C26" s="4" t="s">
        <v>58</v>
      </c>
      <c r="D26" s="4" t="s">
        <v>67</v>
      </c>
    </row>
    <row r="27" ht="15.75" customHeight="1">
      <c r="A27" s="4" t="s">
        <v>41</v>
      </c>
      <c r="B27" s="3" t="s">
        <v>68</v>
      </c>
      <c r="C27" s="4" t="s">
        <v>58</v>
      </c>
      <c r="D27" s="4" t="s">
        <v>69</v>
      </c>
    </row>
    <row r="28" ht="15.75" customHeight="1">
      <c r="A28" s="4" t="s">
        <v>45</v>
      </c>
      <c r="B28" s="3" t="s">
        <v>70</v>
      </c>
      <c r="C28" s="4" t="s">
        <v>53</v>
      </c>
      <c r="D28" s="4" t="s">
        <v>71</v>
      </c>
    </row>
    <row r="29" ht="15.75" customHeight="1">
      <c r="A29" s="4" t="s">
        <v>45</v>
      </c>
      <c r="B29" s="3" t="s">
        <v>72</v>
      </c>
      <c r="C29" s="4" t="s">
        <v>53</v>
      </c>
      <c r="D29" s="4" t="s">
        <v>73</v>
      </c>
    </row>
    <row r="30" ht="15.75" customHeight="1">
      <c r="A30" s="4" t="s">
        <v>45</v>
      </c>
      <c r="B30" s="3" t="s">
        <v>74</v>
      </c>
      <c r="C30" s="4" t="s">
        <v>58</v>
      </c>
      <c r="D30" s="4" t="s">
        <v>75</v>
      </c>
    </row>
    <row r="31" ht="15.75" customHeight="1">
      <c r="A31" s="4" t="s">
        <v>45</v>
      </c>
      <c r="B31" s="3" t="s">
        <v>76</v>
      </c>
      <c r="C31" s="4" t="s">
        <v>58</v>
      </c>
      <c r="D31" s="4" t="s">
        <v>77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1.0"/>
    <col customWidth="1" min="3" max="3" width="20.0"/>
    <col customWidth="1" min="4" max="4" width="11.0"/>
    <col customWidth="1" min="5" max="5" width="13.0"/>
    <col customWidth="1" min="6" max="6" width="9.0"/>
    <col customWidth="1" min="7" max="7" width="48.0"/>
    <col customWidth="1" min="8" max="11" width="34.0"/>
    <col customWidth="1" min="12" max="12" width="22.0"/>
    <col customWidth="1" min="13" max="13" width="2.0"/>
    <col customWidth="1" min="14" max="14" width="11.0"/>
    <col customWidth="1" min="15" max="15" width="10.0"/>
    <col customWidth="1" min="16" max="26" width="8.71"/>
  </cols>
  <sheetData>
    <row r="1" ht="27.75" customHeight="1">
      <c r="A1" s="1" t="s">
        <v>78</v>
      </c>
    </row>
    <row r="2">
      <c r="A2" s="2" t="s">
        <v>79</v>
      </c>
    </row>
    <row r="4" ht="21.75" customHeight="1">
      <c r="A4" s="9" t="s">
        <v>80</v>
      </c>
      <c r="B4" s="9" t="s">
        <v>29</v>
      </c>
      <c r="C4" s="9" t="s">
        <v>50</v>
      </c>
      <c r="D4" s="9" t="s">
        <v>81</v>
      </c>
      <c r="E4" s="9" t="s">
        <v>82</v>
      </c>
      <c r="F4" s="9" t="s">
        <v>30</v>
      </c>
      <c r="G4" s="9" t="s">
        <v>83</v>
      </c>
      <c r="H4" s="9" t="s">
        <v>84</v>
      </c>
      <c r="I4" s="9" t="s">
        <v>85</v>
      </c>
      <c r="J4" s="9" t="s">
        <v>86</v>
      </c>
      <c r="K4" s="9" t="s">
        <v>87</v>
      </c>
      <c r="L4" s="9" t="s">
        <v>88</v>
      </c>
      <c r="M4" s="9"/>
      <c r="N4" s="9" t="s">
        <v>89</v>
      </c>
      <c r="O4" s="9" t="s">
        <v>90</v>
      </c>
    </row>
    <row r="5" ht="60.0" customHeight="1">
      <c r="A5" s="10" t="s">
        <v>91</v>
      </c>
      <c r="B5" s="11" t="s">
        <v>36</v>
      </c>
      <c r="C5" s="11" t="s">
        <v>52</v>
      </c>
      <c r="D5" s="11" t="s">
        <v>92</v>
      </c>
      <c r="E5" s="11" t="s">
        <v>93</v>
      </c>
      <c r="F5" s="11">
        <v>0.8</v>
      </c>
      <c r="G5" s="10" t="s">
        <v>94</v>
      </c>
      <c r="H5" s="11" t="s">
        <v>95</v>
      </c>
      <c r="I5" s="11" t="s">
        <v>96</v>
      </c>
      <c r="J5" s="11" t="s">
        <v>97</v>
      </c>
      <c r="K5" s="11" t="s">
        <v>98</v>
      </c>
      <c r="L5" s="12" t="s">
        <v>99</v>
      </c>
      <c r="N5" s="13"/>
      <c r="O5" s="14" t="str">
        <f t="shared" ref="O5:O40" si="1">IF(N5="","",N5*F5)</f>
        <v/>
      </c>
    </row>
    <row r="6" ht="60.0" customHeight="1">
      <c r="A6" s="10" t="s">
        <v>100</v>
      </c>
      <c r="B6" s="11" t="s">
        <v>36</v>
      </c>
      <c r="C6" s="11" t="s">
        <v>52</v>
      </c>
      <c r="D6" s="11" t="s">
        <v>101</v>
      </c>
      <c r="E6" s="11" t="s">
        <v>102</v>
      </c>
      <c r="F6" s="11">
        <v>1.0</v>
      </c>
      <c r="G6" s="10" t="s">
        <v>103</v>
      </c>
      <c r="H6" s="11" t="s">
        <v>104</v>
      </c>
      <c r="I6" s="11" t="s">
        <v>105</v>
      </c>
      <c r="J6" s="11" t="s">
        <v>106</v>
      </c>
      <c r="K6" s="11" t="s">
        <v>107</v>
      </c>
      <c r="L6" s="12" t="s">
        <v>108</v>
      </c>
      <c r="N6" s="13"/>
      <c r="O6" s="14" t="str">
        <f t="shared" si="1"/>
        <v/>
      </c>
    </row>
    <row r="7" ht="60.0" customHeight="1">
      <c r="A7" s="10" t="s">
        <v>109</v>
      </c>
      <c r="B7" s="11" t="s">
        <v>36</v>
      </c>
      <c r="C7" s="11" t="s">
        <v>52</v>
      </c>
      <c r="D7" s="11" t="s">
        <v>101</v>
      </c>
      <c r="E7" s="11" t="s">
        <v>110</v>
      </c>
      <c r="F7" s="11">
        <v>1.2</v>
      </c>
      <c r="G7" s="10" t="s">
        <v>111</v>
      </c>
      <c r="H7" s="11" t="s">
        <v>112</v>
      </c>
      <c r="I7" s="11" t="s">
        <v>113</v>
      </c>
      <c r="J7" s="11" t="s">
        <v>114</v>
      </c>
      <c r="K7" s="11" t="s">
        <v>115</v>
      </c>
      <c r="L7" s="12" t="s">
        <v>116</v>
      </c>
      <c r="N7" s="13"/>
      <c r="O7" s="14" t="str">
        <f t="shared" si="1"/>
        <v/>
      </c>
    </row>
    <row r="8" ht="60.0" customHeight="1">
      <c r="A8" s="10" t="s">
        <v>117</v>
      </c>
      <c r="B8" s="11" t="s">
        <v>36</v>
      </c>
      <c r="C8" s="11" t="s">
        <v>55</v>
      </c>
      <c r="D8" s="11" t="s">
        <v>92</v>
      </c>
      <c r="E8" s="11" t="s">
        <v>93</v>
      </c>
      <c r="F8" s="11">
        <v>0.8</v>
      </c>
      <c r="G8" s="10" t="s">
        <v>118</v>
      </c>
      <c r="H8" s="11" t="s">
        <v>119</v>
      </c>
      <c r="I8" s="11" t="s">
        <v>120</v>
      </c>
      <c r="J8" s="11" t="s">
        <v>121</v>
      </c>
      <c r="K8" s="11" t="s">
        <v>122</v>
      </c>
      <c r="L8" s="12" t="s">
        <v>123</v>
      </c>
      <c r="N8" s="13"/>
      <c r="O8" s="14" t="str">
        <f t="shared" si="1"/>
        <v/>
      </c>
    </row>
    <row r="9" ht="60.0" customHeight="1">
      <c r="A9" s="10" t="s">
        <v>124</v>
      </c>
      <c r="B9" s="11" t="s">
        <v>36</v>
      </c>
      <c r="C9" s="11" t="s">
        <v>55</v>
      </c>
      <c r="D9" s="11" t="s">
        <v>101</v>
      </c>
      <c r="E9" s="11" t="s">
        <v>102</v>
      </c>
      <c r="F9" s="11">
        <v>1.0</v>
      </c>
      <c r="G9" s="10" t="s">
        <v>125</v>
      </c>
      <c r="H9" s="11" t="s">
        <v>126</v>
      </c>
      <c r="I9" s="11" t="s">
        <v>127</v>
      </c>
      <c r="J9" s="11" t="s">
        <v>128</v>
      </c>
      <c r="K9" s="11" t="s">
        <v>129</v>
      </c>
      <c r="L9" s="12" t="s">
        <v>130</v>
      </c>
      <c r="N9" s="13"/>
      <c r="O9" s="14" t="str">
        <f t="shared" si="1"/>
        <v/>
      </c>
    </row>
    <row r="10" ht="60.0" customHeight="1">
      <c r="A10" s="10" t="s">
        <v>131</v>
      </c>
      <c r="B10" s="11" t="s">
        <v>36</v>
      </c>
      <c r="C10" s="11" t="s">
        <v>55</v>
      </c>
      <c r="D10" s="11" t="s">
        <v>101</v>
      </c>
      <c r="E10" s="11" t="s">
        <v>110</v>
      </c>
      <c r="F10" s="11">
        <v>1.2</v>
      </c>
      <c r="G10" s="10" t="s">
        <v>132</v>
      </c>
      <c r="H10" s="11" t="s">
        <v>133</v>
      </c>
      <c r="I10" s="11" t="s">
        <v>134</v>
      </c>
      <c r="J10" s="11" t="s">
        <v>135</v>
      </c>
      <c r="K10" s="11" t="s">
        <v>136</v>
      </c>
      <c r="L10" s="12" t="s">
        <v>137</v>
      </c>
      <c r="N10" s="13"/>
      <c r="O10" s="14" t="str">
        <f t="shared" si="1"/>
        <v/>
      </c>
    </row>
    <row r="11" ht="60.0" customHeight="1">
      <c r="A11" s="10" t="s">
        <v>138</v>
      </c>
      <c r="B11" s="11" t="s">
        <v>36</v>
      </c>
      <c r="C11" s="11" t="s">
        <v>57</v>
      </c>
      <c r="D11" s="11" t="s">
        <v>92</v>
      </c>
      <c r="E11" s="11" t="s">
        <v>102</v>
      </c>
      <c r="F11" s="11">
        <v>0.8</v>
      </c>
      <c r="G11" s="10" t="s">
        <v>139</v>
      </c>
      <c r="H11" s="11" t="s">
        <v>140</v>
      </c>
      <c r="I11" s="11" t="s">
        <v>141</v>
      </c>
      <c r="J11" s="11" t="s">
        <v>142</v>
      </c>
      <c r="K11" s="11" t="s">
        <v>143</v>
      </c>
      <c r="L11" s="12" t="s">
        <v>144</v>
      </c>
      <c r="N11" s="13"/>
      <c r="O11" s="14" t="str">
        <f t="shared" si="1"/>
        <v/>
      </c>
    </row>
    <row r="12" ht="60.0" customHeight="1">
      <c r="A12" s="10" t="s">
        <v>145</v>
      </c>
      <c r="B12" s="11" t="s">
        <v>36</v>
      </c>
      <c r="C12" s="11" t="s">
        <v>57</v>
      </c>
      <c r="D12" s="11" t="s">
        <v>101</v>
      </c>
      <c r="E12" s="11" t="s">
        <v>93</v>
      </c>
      <c r="F12" s="11">
        <v>1.0</v>
      </c>
      <c r="G12" s="10" t="s">
        <v>146</v>
      </c>
      <c r="H12" s="11" t="s">
        <v>147</v>
      </c>
      <c r="I12" s="11" t="s">
        <v>148</v>
      </c>
      <c r="J12" s="11" t="s">
        <v>149</v>
      </c>
      <c r="K12" s="11" t="s">
        <v>150</v>
      </c>
      <c r="L12" s="12" t="s">
        <v>151</v>
      </c>
      <c r="N12" s="13"/>
      <c r="O12" s="14" t="str">
        <f t="shared" si="1"/>
        <v/>
      </c>
    </row>
    <row r="13" ht="60.0" customHeight="1">
      <c r="A13" s="10" t="s">
        <v>152</v>
      </c>
      <c r="B13" s="11" t="s">
        <v>36</v>
      </c>
      <c r="C13" s="11" t="s">
        <v>57</v>
      </c>
      <c r="D13" s="11" t="s">
        <v>101</v>
      </c>
      <c r="E13" s="11" t="s">
        <v>110</v>
      </c>
      <c r="F13" s="11">
        <v>1.2</v>
      </c>
      <c r="G13" s="10" t="s">
        <v>153</v>
      </c>
      <c r="H13" s="11" t="s">
        <v>154</v>
      </c>
      <c r="I13" s="11" t="s">
        <v>155</v>
      </c>
      <c r="J13" s="11" t="s">
        <v>156</v>
      </c>
      <c r="K13" s="11" t="s">
        <v>157</v>
      </c>
      <c r="L13" s="12" t="s">
        <v>158</v>
      </c>
      <c r="N13" s="13"/>
      <c r="O13" s="14" t="str">
        <f t="shared" si="1"/>
        <v/>
      </c>
    </row>
    <row r="14" ht="60.0" customHeight="1">
      <c r="A14" s="10" t="s">
        <v>159</v>
      </c>
      <c r="B14" s="11" t="s">
        <v>36</v>
      </c>
      <c r="C14" s="11" t="s">
        <v>60</v>
      </c>
      <c r="D14" s="11" t="s">
        <v>92</v>
      </c>
      <c r="E14" s="11" t="s">
        <v>93</v>
      </c>
      <c r="F14" s="11">
        <v>0.8</v>
      </c>
      <c r="G14" s="10" t="s">
        <v>160</v>
      </c>
      <c r="H14" s="11" t="s">
        <v>161</v>
      </c>
      <c r="I14" s="11" t="s">
        <v>162</v>
      </c>
      <c r="J14" s="11" t="s">
        <v>163</v>
      </c>
      <c r="K14" s="11" t="s">
        <v>164</v>
      </c>
      <c r="L14" s="12" t="s">
        <v>165</v>
      </c>
      <c r="N14" s="13"/>
      <c r="O14" s="14" t="str">
        <f t="shared" si="1"/>
        <v/>
      </c>
    </row>
    <row r="15" ht="60.0" customHeight="1">
      <c r="A15" s="10" t="s">
        <v>166</v>
      </c>
      <c r="B15" s="11" t="s">
        <v>36</v>
      </c>
      <c r="C15" s="11" t="s">
        <v>60</v>
      </c>
      <c r="D15" s="11" t="s">
        <v>101</v>
      </c>
      <c r="E15" s="11" t="s">
        <v>110</v>
      </c>
      <c r="F15" s="11">
        <v>1.0</v>
      </c>
      <c r="G15" s="10" t="s">
        <v>167</v>
      </c>
      <c r="H15" s="11" t="s">
        <v>168</v>
      </c>
      <c r="I15" s="11" t="s">
        <v>169</v>
      </c>
      <c r="J15" s="11" t="s">
        <v>170</v>
      </c>
      <c r="K15" s="11" t="s">
        <v>171</v>
      </c>
      <c r="L15" s="12" t="s">
        <v>172</v>
      </c>
      <c r="N15" s="13"/>
      <c r="O15" s="14" t="str">
        <f t="shared" si="1"/>
        <v/>
      </c>
    </row>
    <row r="16" ht="60.0" customHeight="1">
      <c r="A16" s="10" t="s">
        <v>173</v>
      </c>
      <c r="B16" s="11" t="s">
        <v>36</v>
      </c>
      <c r="C16" s="11" t="s">
        <v>60</v>
      </c>
      <c r="D16" s="11" t="s">
        <v>101</v>
      </c>
      <c r="E16" s="11" t="s">
        <v>102</v>
      </c>
      <c r="F16" s="11">
        <v>1.2</v>
      </c>
      <c r="G16" s="10" t="s">
        <v>174</v>
      </c>
      <c r="H16" s="11" t="s">
        <v>175</v>
      </c>
      <c r="I16" s="11" t="s">
        <v>176</v>
      </c>
      <c r="J16" s="11" t="s">
        <v>177</v>
      </c>
      <c r="K16" s="11" t="s">
        <v>178</v>
      </c>
      <c r="L16" s="12" t="s">
        <v>179</v>
      </c>
      <c r="N16" s="13"/>
      <c r="O16" s="14" t="str">
        <f t="shared" si="1"/>
        <v/>
      </c>
    </row>
    <row r="17" ht="60.0" customHeight="1">
      <c r="A17" s="15" t="s">
        <v>180</v>
      </c>
      <c r="B17" s="16" t="s">
        <v>41</v>
      </c>
      <c r="C17" s="16" t="s">
        <v>62</v>
      </c>
      <c r="D17" s="16" t="s">
        <v>92</v>
      </c>
      <c r="E17" s="16" t="s">
        <v>93</v>
      </c>
      <c r="F17" s="16">
        <v>0.8</v>
      </c>
      <c r="G17" s="15" t="s">
        <v>181</v>
      </c>
      <c r="H17" s="16" t="s">
        <v>182</v>
      </c>
      <c r="I17" s="16" t="s">
        <v>183</v>
      </c>
      <c r="J17" s="16" t="s">
        <v>184</v>
      </c>
      <c r="K17" s="16" t="s">
        <v>185</v>
      </c>
      <c r="L17" s="17" t="s">
        <v>186</v>
      </c>
      <c r="N17" s="13"/>
      <c r="O17" s="14" t="str">
        <f t="shared" si="1"/>
        <v/>
      </c>
    </row>
    <row r="18" ht="60.0" customHeight="1">
      <c r="A18" s="15" t="s">
        <v>187</v>
      </c>
      <c r="B18" s="16" t="s">
        <v>41</v>
      </c>
      <c r="C18" s="16" t="s">
        <v>62</v>
      </c>
      <c r="D18" s="16" t="s">
        <v>101</v>
      </c>
      <c r="E18" s="16" t="s">
        <v>93</v>
      </c>
      <c r="F18" s="16">
        <v>1.0</v>
      </c>
      <c r="G18" s="15" t="s">
        <v>188</v>
      </c>
      <c r="H18" s="16" t="s">
        <v>189</v>
      </c>
      <c r="I18" s="16" t="s">
        <v>190</v>
      </c>
      <c r="J18" s="16" t="s">
        <v>191</v>
      </c>
      <c r="K18" s="16" t="s">
        <v>192</v>
      </c>
      <c r="L18" s="17" t="s">
        <v>193</v>
      </c>
      <c r="N18" s="13"/>
      <c r="O18" s="14" t="str">
        <f t="shared" si="1"/>
        <v/>
      </c>
    </row>
    <row r="19" ht="60.0" customHeight="1">
      <c r="A19" s="15" t="s">
        <v>194</v>
      </c>
      <c r="B19" s="16" t="s">
        <v>41</v>
      </c>
      <c r="C19" s="16" t="s">
        <v>62</v>
      </c>
      <c r="D19" s="16" t="s">
        <v>101</v>
      </c>
      <c r="E19" s="16" t="s">
        <v>93</v>
      </c>
      <c r="F19" s="16">
        <v>1.2</v>
      </c>
      <c r="G19" s="15" t="s">
        <v>195</v>
      </c>
      <c r="H19" s="16" t="s">
        <v>196</v>
      </c>
      <c r="I19" s="16" t="s">
        <v>197</v>
      </c>
      <c r="J19" s="16" t="s">
        <v>198</v>
      </c>
      <c r="K19" s="16" t="s">
        <v>199</v>
      </c>
      <c r="L19" s="17" t="s">
        <v>200</v>
      </c>
      <c r="N19" s="13"/>
      <c r="O19" s="14" t="str">
        <f t="shared" si="1"/>
        <v/>
      </c>
    </row>
    <row r="20" ht="60.0" customHeight="1">
      <c r="A20" s="15" t="s">
        <v>201</v>
      </c>
      <c r="B20" s="16" t="s">
        <v>41</v>
      </c>
      <c r="C20" s="16" t="s">
        <v>64</v>
      </c>
      <c r="D20" s="16" t="s">
        <v>92</v>
      </c>
      <c r="E20" s="16" t="s">
        <v>110</v>
      </c>
      <c r="F20" s="16">
        <v>0.8</v>
      </c>
      <c r="G20" s="15" t="s">
        <v>202</v>
      </c>
      <c r="H20" s="16" t="s">
        <v>203</v>
      </c>
      <c r="I20" s="16" t="s">
        <v>204</v>
      </c>
      <c r="J20" s="16" t="s">
        <v>205</v>
      </c>
      <c r="K20" s="16" t="s">
        <v>206</v>
      </c>
      <c r="L20" s="17" t="s">
        <v>207</v>
      </c>
      <c r="N20" s="13"/>
      <c r="O20" s="14" t="str">
        <f t="shared" si="1"/>
        <v/>
      </c>
    </row>
    <row r="21" ht="60.0" customHeight="1">
      <c r="A21" s="15" t="s">
        <v>208</v>
      </c>
      <c r="B21" s="16" t="s">
        <v>41</v>
      </c>
      <c r="C21" s="16" t="s">
        <v>64</v>
      </c>
      <c r="D21" s="16" t="s">
        <v>101</v>
      </c>
      <c r="E21" s="16" t="s">
        <v>102</v>
      </c>
      <c r="F21" s="16">
        <v>1.0</v>
      </c>
      <c r="G21" s="15" t="s">
        <v>209</v>
      </c>
      <c r="H21" s="16" t="s">
        <v>210</v>
      </c>
      <c r="I21" s="16" t="s">
        <v>211</v>
      </c>
      <c r="J21" s="16" t="s">
        <v>212</v>
      </c>
      <c r="K21" s="16" t="s">
        <v>213</v>
      </c>
      <c r="L21" s="17" t="s">
        <v>214</v>
      </c>
      <c r="N21" s="13"/>
      <c r="O21" s="14" t="str">
        <f t="shared" si="1"/>
        <v/>
      </c>
    </row>
    <row r="22" ht="60.0" customHeight="1">
      <c r="A22" s="15" t="s">
        <v>215</v>
      </c>
      <c r="B22" s="16" t="s">
        <v>41</v>
      </c>
      <c r="C22" s="16" t="s">
        <v>64</v>
      </c>
      <c r="D22" s="16" t="s">
        <v>101</v>
      </c>
      <c r="E22" s="16" t="s">
        <v>102</v>
      </c>
      <c r="F22" s="16">
        <v>1.2</v>
      </c>
      <c r="G22" s="15" t="s">
        <v>216</v>
      </c>
      <c r="H22" s="16" t="s">
        <v>217</v>
      </c>
      <c r="I22" s="16" t="s">
        <v>218</v>
      </c>
      <c r="J22" s="16" t="s">
        <v>219</v>
      </c>
      <c r="K22" s="16" t="s">
        <v>220</v>
      </c>
      <c r="L22" s="17" t="s">
        <v>221</v>
      </c>
      <c r="N22" s="13"/>
      <c r="O22" s="14" t="str">
        <f t="shared" si="1"/>
        <v/>
      </c>
    </row>
    <row r="23" ht="60.0" customHeight="1">
      <c r="A23" s="15" t="s">
        <v>222</v>
      </c>
      <c r="B23" s="16" t="s">
        <v>41</v>
      </c>
      <c r="C23" s="16" t="s">
        <v>66</v>
      </c>
      <c r="D23" s="16" t="s">
        <v>92</v>
      </c>
      <c r="E23" s="16" t="s">
        <v>93</v>
      </c>
      <c r="F23" s="16">
        <v>0.8</v>
      </c>
      <c r="G23" s="15" t="s">
        <v>223</v>
      </c>
      <c r="H23" s="16" t="s">
        <v>224</v>
      </c>
      <c r="I23" s="16" t="s">
        <v>225</v>
      </c>
      <c r="J23" s="16" t="s">
        <v>226</v>
      </c>
      <c r="K23" s="16" t="s">
        <v>227</v>
      </c>
      <c r="L23" s="17" t="s">
        <v>228</v>
      </c>
      <c r="N23" s="13"/>
      <c r="O23" s="14" t="str">
        <f t="shared" si="1"/>
        <v/>
      </c>
    </row>
    <row r="24" ht="60.0" customHeight="1">
      <c r="A24" s="15" t="s">
        <v>229</v>
      </c>
      <c r="B24" s="16" t="s">
        <v>41</v>
      </c>
      <c r="C24" s="16" t="s">
        <v>66</v>
      </c>
      <c r="D24" s="16" t="s">
        <v>101</v>
      </c>
      <c r="E24" s="16" t="s">
        <v>93</v>
      </c>
      <c r="F24" s="16">
        <v>1.0</v>
      </c>
      <c r="G24" s="15" t="s">
        <v>230</v>
      </c>
      <c r="H24" s="16" t="s">
        <v>231</v>
      </c>
      <c r="I24" s="16" t="s">
        <v>232</v>
      </c>
      <c r="J24" s="16" t="s">
        <v>233</v>
      </c>
      <c r="K24" s="16" t="s">
        <v>234</v>
      </c>
      <c r="L24" s="17" t="s">
        <v>235</v>
      </c>
      <c r="N24" s="13"/>
      <c r="O24" s="14" t="str">
        <f t="shared" si="1"/>
        <v/>
      </c>
    </row>
    <row r="25" ht="60.0" customHeight="1">
      <c r="A25" s="15" t="s">
        <v>236</v>
      </c>
      <c r="B25" s="16" t="s">
        <v>41</v>
      </c>
      <c r="C25" s="16" t="s">
        <v>66</v>
      </c>
      <c r="D25" s="16" t="s">
        <v>101</v>
      </c>
      <c r="E25" s="16" t="s">
        <v>110</v>
      </c>
      <c r="F25" s="16">
        <v>1.2</v>
      </c>
      <c r="G25" s="15" t="s">
        <v>237</v>
      </c>
      <c r="H25" s="16" t="s">
        <v>238</v>
      </c>
      <c r="I25" s="16" t="s">
        <v>239</v>
      </c>
      <c r="J25" s="16" t="s">
        <v>240</v>
      </c>
      <c r="K25" s="16" t="s">
        <v>241</v>
      </c>
      <c r="L25" s="17" t="s">
        <v>242</v>
      </c>
      <c r="N25" s="13"/>
      <c r="O25" s="14" t="str">
        <f t="shared" si="1"/>
        <v/>
      </c>
    </row>
    <row r="26" ht="60.0" customHeight="1">
      <c r="A26" s="15" t="s">
        <v>243</v>
      </c>
      <c r="B26" s="16" t="s">
        <v>41</v>
      </c>
      <c r="C26" s="16" t="s">
        <v>68</v>
      </c>
      <c r="D26" s="16" t="s">
        <v>92</v>
      </c>
      <c r="E26" s="16" t="s">
        <v>93</v>
      </c>
      <c r="F26" s="16">
        <v>0.8</v>
      </c>
      <c r="G26" s="15" t="s">
        <v>244</v>
      </c>
      <c r="H26" s="16" t="s">
        <v>245</v>
      </c>
      <c r="I26" s="16" t="s">
        <v>246</v>
      </c>
      <c r="J26" s="16" t="s">
        <v>247</v>
      </c>
      <c r="K26" s="16" t="s">
        <v>248</v>
      </c>
      <c r="L26" s="17" t="s">
        <v>249</v>
      </c>
      <c r="N26" s="13"/>
      <c r="O26" s="14" t="str">
        <f t="shared" si="1"/>
        <v/>
      </c>
    </row>
    <row r="27" ht="60.0" customHeight="1">
      <c r="A27" s="15" t="s">
        <v>250</v>
      </c>
      <c r="B27" s="16" t="s">
        <v>41</v>
      </c>
      <c r="C27" s="16" t="s">
        <v>68</v>
      </c>
      <c r="D27" s="16" t="s">
        <v>101</v>
      </c>
      <c r="E27" s="16" t="s">
        <v>110</v>
      </c>
      <c r="F27" s="16">
        <v>1.0</v>
      </c>
      <c r="G27" s="15" t="s">
        <v>251</v>
      </c>
      <c r="H27" s="16" t="s">
        <v>252</v>
      </c>
      <c r="I27" s="16" t="s">
        <v>253</v>
      </c>
      <c r="J27" s="16" t="s">
        <v>254</v>
      </c>
      <c r="K27" s="16" t="s">
        <v>255</v>
      </c>
      <c r="L27" s="17" t="s">
        <v>256</v>
      </c>
      <c r="N27" s="13"/>
      <c r="O27" s="14" t="str">
        <f t="shared" si="1"/>
        <v/>
      </c>
    </row>
    <row r="28" ht="60.0" customHeight="1">
      <c r="A28" s="15" t="s">
        <v>257</v>
      </c>
      <c r="B28" s="16" t="s">
        <v>41</v>
      </c>
      <c r="C28" s="16" t="s">
        <v>68</v>
      </c>
      <c r="D28" s="16" t="s">
        <v>101</v>
      </c>
      <c r="E28" s="16" t="s">
        <v>93</v>
      </c>
      <c r="F28" s="16">
        <v>1.2</v>
      </c>
      <c r="G28" s="15" t="s">
        <v>258</v>
      </c>
      <c r="H28" s="16" t="s">
        <v>259</v>
      </c>
      <c r="I28" s="16" t="s">
        <v>260</v>
      </c>
      <c r="J28" s="16" t="s">
        <v>261</v>
      </c>
      <c r="K28" s="16" t="s">
        <v>262</v>
      </c>
      <c r="L28" s="17" t="s">
        <v>263</v>
      </c>
      <c r="N28" s="13"/>
      <c r="O28" s="14" t="str">
        <f t="shared" si="1"/>
        <v/>
      </c>
    </row>
    <row r="29" ht="60.0" customHeight="1">
      <c r="A29" s="18" t="s">
        <v>264</v>
      </c>
      <c r="B29" s="19" t="s">
        <v>45</v>
      </c>
      <c r="C29" s="19" t="s">
        <v>70</v>
      </c>
      <c r="D29" s="19" t="s">
        <v>92</v>
      </c>
      <c r="E29" s="19" t="s">
        <v>93</v>
      </c>
      <c r="F29" s="19">
        <v>0.8</v>
      </c>
      <c r="G29" s="18" t="s">
        <v>265</v>
      </c>
      <c r="H29" s="19" t="s">
        <v>266</v>
      </c>
      <c r="I29" s="19" t="s">
        <v>267</v>
      </c>
      <c r="J29" s="19" t="s">
        <v>268</v>
      </c>
      <c r="K29" s="19" t="s">
        <v>269</v>
      </c>
      <c r="L29" s="20" t="s">
        <v>270</v>
      </c>
      <c r="N29" s="13"/>
      <c r="O29" s="14" t="str">
        <f t="shared" si="1"/>
        <v/>
      </c>
    </row>
    <row r="30" ht="60.0" customHeight="1">
      <c r="A30" s="18" t="s">
        <v>271</v>
      </c>
      <c r="B30" s="19" t="s">
        <v>45</v>
      </c>
      <c r="C30" s="19" t="s">
        <v>70</v>
      </c>
      <c r="D30" s="19" t="s">
        <v>101</v>
      </c>
      <c r="E30" s="19" t="s">
        <v>93</v>
      </c>
      <c r="F30" s="19">
        <v>1.0</v>
      </c>
      <c r="G30" s="18" t="s">
        <v>272</v>
      </c>
      <c r="H30" s="19" t="s">
        <v>273</v>
      </c>
      <c r="I30" s="19" t="s">
        <v>274</v>
      </c>
      <c r="J30" s="19" t="s">
        <v>275</v>
      </c>
      <c r="K30" s="19" t="s">
        <v>276</v>
      </c>
      <c r="L30" s="20" t="s">
        <v>277</v>
      </c>
      <c r="N30" s="13"/>
      <c r="O30" s="14" t="str">
        <f t="shared" si="1"/>
        <v/>
      </c>
    </row>
    <row r="31" ht="60.0" customHeight="1">
      <c r="A31" s="18" t="s">
        <v>278</v>
      </c>
      <c r="B31" s="19" t="s">
        <v>45</v>
      </c>
      <c r="C31" s="19" t="s">
        <v>70</v>
      </c>
      <c r="D31" s="19" t="s">
        <v>101</v>
      </c>
      <c r="E31" s="19" t="s">
        <v>110</v>
      </c>
      <c r="F31" s="19">
        <v>1.2</v>
      </c>
      <c r="G31" s="18" t="s">
        <v>279</v>
      </c>
      <c r="H31" s="19" t="s">
        <v>280</v>
      </c>
      <c r="I31" s="19" t="s">
        <v>281</v>
      </c>
      <c r="J31" s="19" t="s">
        <v>282</v>
      </c>
      <c r="K31" s="19" t="s">
        <v>283</v>
      </c>
      <c r="L31" s="20" t="s">
        <v>284</v>
      </c>
      <c r="N31" s="13"/>
      <c r="O31" s="14" t="str">
        <f t="shared" si="1"/>
        <v/>
      </c>
    </row>
    <row r="32" ht="60.0" customHeight="1">
      <c r="A32" s="18" t="s">
        <v>285</v>
      </c>
      <c r="B32" s="19" t="s">
        <v>45</v>
      </c>
      <c r="C32" s="19" t="s">
        <v>72</v>
      </c>
      <c r="D32" s="19" t="s">
        <v>92</v>
      </c>
      <c r="E32" s="19" t="s">
        <v>102</v>
      </c>
      <c r="F32" s="19">
        <v>0.8</v>
      </c>
      <c r="G32" s="18" t="s">
        <v>286</v>
      </c>
      <c r="H32" s="19" t="s">
        <v>287</v>
      </c>
      <c r="I32" s="19" t="s">
        <v>288</v>
      </c>
      <c r="J32" s="19" t="s">
        <v>289</v>
      </c>
      <c r="K32" s="19" t="s">
        <v>290</v>
      </c>
      <c r="L32" s="20" t="s">
        <v>291</v>
      </c>
      <c r="N32" s="13"/>
      <c r="O32" s="14" t="str">
        <f t="shared" si="1"/>
        <v/>
      </c>
    </row>
    <row r="33" ht="60.0" customHeight="1">
      <c r="A33" s="18" t="s">
        <v>292</v>
      </c>
      <c r="B33" s="19" t="s">
        <v>45</v>
      </c>
      <c r="C33" s="19" t="s">
        <v>72</v>
      </c>
      <c r="D33" s="19" t="s">
        <v>101</v>
      </c>
      <c r="E33" s="19" t="s">
        <v>93</v>
      </c>
      <c r="F33" s="19">
        <v>1.0</v>
      </c>
      <c r="G33" s="18" t="s">
        <v>293</v>
      </c>
      <c r="H33" s="19" t="s">
        <v>294</v>
      </c>
      <c r="I33" s="19" t="s">
        <v>295</v>
      </c>
      <c r="J33" s="19" t="s">
        <v>296</v>
      </c>
      <c r="K33" s="19" t="s">
        <v>297</v>
      </c>
      <c r="L33" s="20" t="s">
        <v>298</v>
      </c>
      <c r="N33" s="13"/>
      <c r="O33" s="14" t="str">
        <f t="shared" si="1"/>
        <v/>
      </c>
    </row>
    <row r="34" ht="60.0" customHeight="1">
      <c r="A34" s="18" t="s">
        <v>299</v>
      </c>
      <c r="B34" s="19" t="s">
        <v>45</v>
      </c>
      <c r="C34" s="19" t="s">
        <v>72</v>
      </c>
      <c r="D34" s="19" t="s">
        <v>101</v>
      </c>
      <c r="E34" s="19" t="s">
        <v>110</v>
      </c>
      <c r="F34" s="19">
        <v>1.2</v>
      </c>
      <c r="G34" s="18" t="s">
        <v>300</v>
      </c>
      <c r="H34" s="19" t="s">
        <v>301</v>
      </c>
      <c r="I34" s="19" t="s">
        <v>302</v>
      </c>
      <c r="J34" s="19" t="s">
        <v>303</v>
      </c>
      <c r="K34" s="19" t="s">
        <v>304</v>
      </c>
      <c r="L34" s="20" t="s">
        <v>305</v>
      </c>
      <c r="N34" s="13"/>
      <c r="O34" s="14" t="str">
        <f t="shared" si="1"/>
        <v/>
      </c>
    </row>
    <row r="35" ht="60.0" customHeight="1">
      <c r="A35" s="18" t="s">
        <v>306</v>
      </c>
      <c r="B35" s="19" t="s">
        <v>45</v>
      </c>
      <c r="C35" s="19" t="s">
        <v>74</v>
      </c>
      <c r="D35" s="19" t="s">
        <v>92</v>
      </c>
      <c r="E35" s="19" t="s">
        <v>110</v>
      </c>
      <c r="F35" s="19">
        <v>0.8</v>
      </c>
      <c r="G35" s="18" t="s">
        <v>307</v>
      </c>
      <c r="H35" s="19" t="s">
        <v>308</v>
      </c>
      <c r="I35" s="19" t="s">
        <v>309</v>
      </c>
      <c r="J35" s="19" t="s">
        <v>310</v>
      </c>
      <c r="K35" s="19" t="s">
        <v>311</v>
      </c>
      <c r="L35" s="20" t="s">
        <v>312</v>
      </c>
      <c r="N35" s="13"/>
      <c r="O35" s="14" t="str">
        <f t="shared" si="1"/>
        <v/>
      </c>
    </row>
    <row r="36" ht="60.0" customHeight="1">
      <c r="A36" s="18" t="s">
        <v>313</v>
      </c>
      <c r="B36" s="19" t="s">
        <v>45</v>
      </c>
      <c r="C36" s="19" t="s">
        <v>74</v>
      </c>
      <c r="D36" s="19" t="s">
        <v>101</v>
      </c>
      <c r="E36" s="19" t="s">
        <v>93</v>
      </c>
      <c r="F36" s="19">
        <v>1.0</v>
      </c>
      <c r="G36" s="18" t="s">
        <v>314</v>
      </c>
      <c r="H36" s="19" t="s">
        <v>315</v>
      </c>
      <c r="I36" s="19" t="s">
        <v>316</v>
      </c>
      <c r="J36" s="19" t="s">
        <v>317</v>
      </c>
      <c r="K36" s="19" t="s">
        <v>318</v>
      </c>
      <c r="L36" s="20" t="s">
        <v>319</v>
      </c>
      <c r="N36" s="13"/>
      <c r="O36" s="14" t="str">
        <f t="shared" si="1"/>
        <v/>
      </c>
    </row>
    <row r="37" ht="60.0" customHeight="1">
      <c r="A37" s="18" t="s">
        <v>320</v>
      </c>
      <c r="B37" s="19" t="s">
        <v>45</v>
      </c>
      <c r="C37" s="19" t="s">
        <v>74</v>
      </c>
      <c r="D37" s="19" t="s">
        <v>101</v>
      </c>
      <c r="E37" s="19" t="s">
        <v>110</v>
      </c>
      <c r="F37" s="19">
        <v>1.2</v>
      </c>
      <c r="G37" s="18" t="s">
        <v>321</v>
      </c>
      <c r="H37" s="19" t="s">
        <v>322</v>
      </c>
      <c r="I37" s="19" t="s">
        <v>323</v>
      </c>
      <c r="J37" s="19" t="s">
        <v>324</v>
      </c>
      <c r="K37" s="19" t="s">
        <v>325</v>
      </c>
      <c r="L37" s="20" t="s">
        <v>326</v>
      </c>
      <c r="N37" s="13"/>
      <c r="O37" s="14" t="str">
        <f t="shared" si="1"/>
        <v/>
      </c>
    </row>
    <row r="38" ht="60.0" customHeight="1">
      <c r="A38" s="18" t="s">
        <v>327</v>
      </c>
      <c r="B38" s="19" t="s">
        <v>45</v>
      </c>
      <c r="C38" s="19" t="s">
        <v>76</v>
      </c>
      <c r="D38" s="19" t="s">
        <v>92</v>
      </c>
      <c r="E38" s="19" t="s">
        <v>93</v>
      </c>
      <c r="F38" s="19">
        <v>0.8</v>
      </c>
      <c r="G38" s="18" t="s">
        <v>328</v>
      </c>
      <c r="H38" s="19" t="s">
        <v>329</v>
      </c>
      <c r="I38" s="19" t="s">
        <v>330</v>
      </c>
      <c r="J38" s="19" t="s">
        <v>331</v>
      </c>
      <c r="K38" s="19" t="s">
        <v>332</v>
      </c>
      <c r="L38" s="20" t="s">
        <v>333</v>
      </c>
      <c r="N38" s="13"/>
      <c r="O38" s="14" t="str">
        <f t="shared" si="1"/>
        <v/>
      </c>
    </row>
    <row r="39" ht="60.0" customHeight="1">
      <c r="A39" s="18" t="s">
        <v>334</v>
      </c>
      <c r="B39" s="19" t="s">
        <v>45</v>
      </c>
      <c r="C39" s="19" t="s">
        <v>76</v>
      </c>
      <c r="D39" s="19" t="s">
        <v>101</v>
      </c>
      <c r="E39" s="19" t="s">
        <v>102</v>
      </c>
      <c r="F39" s="19">
        <v>1.0</v>
      </c>
      <c r="G39" s="18" t="s">
        <v>335</v>
      </c>
      <c r="H39" s="19" t="s">
        <v>336</v>
      </c>
      <c r="I39" s="19" t="s">
        <v>337</v>
      </c>
      <c r="J39" s="19" t="s">
        <v>338</v>
      </c>
      <c r="K39" s="19" t="s">
        <v>339</v>
      </c>
      <c r="L39" s="20" t="s">
        <v>340</v>
      </c>
      <c r="N39" s="13"/>
      <c r="O39" s="14" t="str">
        <f t="shared" si="1"/>
        <v/>
      </c>
    </row>
    <row r="40" ht="60.0" customHeight="1">
      <c r="A40" s="18" t="s">
        <v>341</v>
      </c>
      <c r="B40" s="19" t="s">
        <v>45</v>
      </c>
      <c r="C40" s="19" t="s">
        <v>76</v>
      </c>
      <c r="D40" s="19" t="s">
        <v>101</v>
      </c>
      <c r="E40" s="19" t="s">
        <v>110</v>
      </c>
      <c r="F40" s="19">
        <v>1.2</v>
      </c>
      <c r="G40" s="18" t="s">
        <v>342</v>
      </c>
      <c r="H40" s="19" t="s">
        <v>343</v>
      </c>
      <c r="I40" s="19" t="s">
        <v>344</v>
      </c>
      <c r="J40" s="19" t="s">
        <v>345</v>
      </c>
      <c r="K40" s="19" t="s">
        <v>346</v>
      </c>
      <c r="L40" s="20" t="s">
        <v>347</v>
      </c>
      <c r="N40" s="13"/>
      <c r="O40" s="14" t="str">
        <f t="shared" si="1"/>
        <v/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N5:N40">
      <formula1>"1,2,3,4"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4.0"/>
    <col customWidth="1" min="3" max="3" width="20.0"/>
    <col customWidth="1" min="4" max="5" width="16.0"/>
    <col customWidth="1" min="6" max="6" width="24.0"/>
    <col customWidth="1" min="7" max="7" width="17.0"/>
    <col customWidth="1" min="8" max="26" width="8.71"/>
  </cols>
  <sheetData>
    <row r="1" ht="27.75" customHeight="1">
      <c r="A1" s="1" t="s">
        <v>348</v>
      </c>
    </row>
    <row r="2">
      <c r="A2" s="2" t="s">
        <v>349</v>
      </c>
    </row>
    <row r="4">
      <c r="A4" s="5" t="s">
        <v>350</v>
      </c>
    </row>
    <row r="5" ht="21.75" customHeight="1">
      <c r="A5" s="9" t="s">
        <v>29</v>
      </c>
      <c r="B5" s="9" t="s">
        <v>50</v>
      </c>
      <c r="C5" s="9" t="s">
        <v>31</v>
      </c>
      <c r="D5" s="9" t="s">
        <v>351</v>
      </c>
      <c r="E5" s="9" t="s">
        <v>352</v>
      </c>
      <c r="F5" s="9" t="s">
        <v>353</v>
      </c>
      <c r="G5" s="9" t="s">
        <v>354</v>
      </c>
    </row>
    <row r="6">
      <c r="A6" s="21" t="s">
        <v>36</v>
      </c>
      <c r="B6" s="22" t="s">
        <v>52</v>
      </c>
      <c r="C6" s="23" t="s">
        <v>54</v>
      </c>
      <c r="D6" s="24">
        <f>'Question bank'!F5+'Question bank'!F6+'Question bank'!F7</f>
        <v>3</v>
      </c>
      <c r="E6" s="24">
        <f t="shared" ref="E6:E17" si="1">D6*4</f>
        <v>12</v>
      </c>
      <c r="F6" s="24">
        <f>IFERROR(VALUE('Question bank'!O5),0)+IFERROR(VALUE('Question bank'!O6),0)+IFERROR(VALUE('Question bank'!O7),0)</f>
        <v>0</v>
      </c>
      <c r="G6" s="25" t="str">
        <f>IF(('Question bank'!N5&lt;&gt;"")*('Question bank'!N6&lt;&gt;"")*('Question bank'!N7&lt;&gt;"")=1,ROUND(F6/E6*100,0),"")</f>
        <v/>
      </c>
    </row>
    <row r="7">
      <c r="A7" s="21" t="s">
        <v>36</v>
      </c>
      <c r="B7" s="22" t="s">
        <v>55</v>
      </c>
      <c r="C7" s="23" t="s">
        <v>56</v>
      </c>
      <c r="D7" s="24">
        <f>'Question bank'!F8+'Question bank'!F9+'Question bank'!F10</f>
        <v>3</v>
      </c>
      <c r="E7" s="24">
        <f t="shared" si="1"/>
        <v>12</v>
      </c>
      <c r="F7" s="24">
        <f>IFERROR(VALUE('Question bank'!O8),0)+IFERROR(VALUE('Question bank'!O9),0)+IFERROR(VALUE('Question bank'!O10),0)</f>
        <v>0</v>
      </c>
      <c r="G7" s="25" t="str">
        <f>IF(('Question bank'!N8&lt;&gt;"")*('Question bank'!N9&lt;&gt;"")*('Question bank'!N10&lt;&gt;"")=1,ROUND(F7/E7*100,0),"")</f>
        <v/>
      </c>
    </row>
    <row r="8">
      <c r="A8" s="21" t="s">
        <v>36</v>
      </c>
      <c r="B8" s="22" t="s">
        <v>57</v>
      </c>
      <c r="C8" s="23" t="s">
        <v>59</v>
      </c>
      <c r="D8" s="24">
        <f>'Question bank'!F11+'Question bank'!F12+'Question bank'!F13</f>
        <v>3</v>
      </c>
      <c r="E8" s="24">
        <f t="shared" si="1"/>
        <v>12</v>
      </c>
      <c r="F8" s="24">
        <f>IFERROR(VALUE('Question bank'!O11),0)+IFERROR(VALUE('Question bank'!O12),0)+IFERROR(VALUE('Question bank'!O13),0)</f>
        <v>0</v>
      </c>
      <c r="G8" s="25" t="str">
        <f>IF(('Question bank'!N11&lt;&gt;"")*('Question bank'!N12&lt;&gt;"")*('Question bank'!N13&lt;&gt;"")=1,ROUND(F8/E8*100,0),"")</f>
        <v/>
      </c>
    </row>
    <row r="9">
      <c r="A9" s="21" t="s">
        <v>36</v>
      </c>
      <c r="B9" s="22" t="s">
        <v>60</v>
      </c>
      <c r="C9" s="23" t="s">
        <v>61</v>
      </c>
      <c r="D9" s="24">
        <f>'Question bank'!F14+'Question bank'!F15+'Question bank'!F16</f>
        <v>3</v>
      </c>
      <c r="E9" s="24">
        <f t="shared" si="1"/>
        <v>12</v>
      </c>
      <c r="F9" s="24">
        <f>IFERROR(VALUE('Question bank'!O14),0)+IFERROR(VALUE('Question bank'!O15),0)+IFERROR(VALUE('Question bank'!O16),0)</f>
        <v>0</v>
      </c>
      <c r="G9" s="25" t="str">
        <f>IF(('Question bank'!N14&lt;&gt;"")*('Question bank'!N15&lt;&gt;"")*('Question bank'!N16&lt;&gt;"")=1,ROUND(F9/E9*100,0),"")</f>
        <v/>
      </c>
    </row>
    <row r="10">
      <c r="A10" s="26" t="s">
        <v>41</v>
      </c>
      <c r="B10" s="27" t="s">
        <v>62</v>
      </c>
      <c r="C10" s="28" t="s">
        <v>63</v>
      </c>
      <c r="D10" s="29">
        <f>'Question bank'!F17+'Question bank'!F18+'Question bank'!F19</f>
        <v>3</v>
      </c>
      <c r="E10" s="29">
        <f t="shared" si="1"/>
        <v>12</v>
      </c>
      <c r="F10" s="29">
        <f>IFERROR(VALUE('Question bank'!O17),0)+IFERROR(VALUE('Question bank'!O18),0)+IFERROR(VALUE('Question bank'!O19),0)</f>
        <v>0</v>
      </c>
      <c r="G10" s="30" t="str">
        <f>IF(('Question bank'!N17&lt;&gt;"")*('Question bank'!N18&lt;&gt;"")*('Question bank'!N19&lt;&gt;"")=1,ROUND(F10/E10*100,0),"")</f>
        <v/>
      </c>
    </row>
    <row r="11">
      <c r="A11" s="26" t="s">
        <v>41</v>
      </c>
      <c r="B11" s="27" t="s">
        <v>64</v>
      </c>
      <c r="C11" s="28" t="s">
        <v>65</v>
      </c>
      <c r="D11" s="29">
        <f>'Question bank'!F20+'Question bank'!F21+'Question bank'!F22</f>
        <v>3</v>
      </c>
      <c r="E11" s="29">
        <f t="shared" si="1"/>
        <v>12</v>
      </c>
      <c r="F11" s="29">
        <f>IFERROR(VALUE('Question bank'!O20),0)+IFERROR(VALUE('Question bank'!O21),0)+IFERROR(VALUE('Question bank'!O22),0)</f>
        <v>0</v>
      </c>
      <c r="G11" s="30" t="str">
        <f>IF(('Question bank'!N20&lt;&gt;"")*('Question bank'!N21&lt;&gt;"")*('Question bank'!N22&lt;&gt;"")=1,ROUND(F11/E11*100,0),"")</f>
        <v/>
      </c>
    </row>
    <row r="12">
      <c r="A12" s="26" t="s">
        <v>41</v>
      </c>
      <c r="B12" s="27" t="s">
        <v>66</v>
      </c>
      <c r="C12" s="28" t="s">
        <v>67</v>
      </c>
      <c r="D12" s="29">
        <f>'Question bank'!F23+'Question bank'!F24+'Question bank'!F25</f>
        <v>3</v>
      </c>
      <c r="E12" s="29">
        <f t="shared" si="1"/>
        <v>12</v>
      </c>
      <c r="F12" s="29">
        <f>IFERROR(VALUE('Question bank'!O23),0)+IFERROR(VALUE('Question bank'!O24),0)+IFERROR(VALUE('Question bank'!O25),0)</f>
        <v>0</v>
      </c>
      <c r="G12" s="30" t="str">
        <f>IF(('Question bank'!N23&lt;&gt;"")*('Question bank'!N24&lt;&gt;"")*('Question bank'!N25&lt;&gt;"")=1,ROUND(F12/E12*100,0),"")</f>
        <v/>
      </c>
    </row>
    <row r="13">
      <c r="A13" s="26" t="s">
        <v>41</v>
      </c>
      <c r="B13" s="27" t="s">
        <v>68</v>
      </c>
      <c r="C13" s="28" t="s">
        <v>69</v>
      </c>
      <c r="D13" s="29">
        <f>'Question bank'!F26+'Question bank'!F27+'Question bank'!F28</f>
        <v>3</v>
      </c>
      <c r="E13" s="29">
        <f t="shared" si="1"/>
        <v>12</v>
      </c>
      <c r="F13" s="29">
        <f>IFERROR(VALUE('Question bank'!O26),0)+IFERROR(VALUE('Question bank'!O27),0)+IFERROR(VALUE('Question bank'!O28),0)</f>
        <v>0</v>
      </c>
      <c r="G13" s="30" t="str">
        <f>IF(('Question bank'!N26&lt;&gt;"")*('Question bank'!N27&lt;&gt;"")*('Question bank'!N28&lt;&gt;"")=1,ROUND(F13/E13*100,0),"")</f>
        <v/>
      </c>
    </row>
    <row r="14">
      <c r="A14" s="31" t="s">
        <v>45</v>
      </c>
      <c r="B14" s="32" t="s">
        <v>70</v>
      </c>
      <c r="C14" s="33" t="s">
        <v>71</v>
      </c>
      <c r="D14" s="34">
        <f>'Question bank'!F29+'Question bank'!F30+'Question bank'!F31</f>
        <v>3</v>
      </c>
      <c r="E14" s="34">
        <f t="shared" si="1"/>
        <v>12</v>
      </c>
      <c r="F14" s="34">
        <f>IFERROR(VALUE('Question bank'!O29),0)+IFERROR(VALUE('Question bank'!O30),0)+IFERROR(VALUE('Question bank'!O31),0)</f>
        <v>0</v>
      </c>
      <c r="G14" s="35" t="str">
        <f>IF(('Question bank'!N29&lt;&gt;"")*('Question bank'!N30&lt;&gt;"")*('Question bank'!N31&lt;&gt;"")=1,ROUND(F14/E14*100,0),"")</f>
        <v/>
      </c>
    </row>
    <row r="15">
      <c r="A15" s="31" t="s">
        <v>45</v>
      </c>
      <c r="B15" s="32" t="s">
        <v>72</v>
      </c>
      <c r="C15" s="33" t="s">
        <v>73</v>
      </c>
      <c r="D15" s="34">
        <f>'Question bank'!F32+'Question bank'!F33+'Question bank'!F34</f>
        <v>3</v>
      </c>
      <c r="E15" s="34">
        <f t="shared" si="1"/>
        <v>12</v>
      </c>
      <c r="F15" s="34">
        <f>IFERROR(VALUE('Question bank'!O32),0)+IFERROR(VALUE('Question bank'!O33),0)+IFERROR(VALUE('Question bank'!O34),0)</f>
        <v>0</v>
      </c>
      <c r="G15" s="35" t="str">
        <f>IF(('Question bank'!N32&lt;&gt;"")*('Question bank'!N33&lt;&gt;"")*('Question bank'!N34&lt;&gt;"")=1,ROUND(F15/E15*100,0),"")</f>
        <v/>
      </c>
    </row>
    <row r="16">
      <c r="A16" s="31" t="s">
        <v>45</v>
      </c>
      <c r="B16" s="32" t="s">
        <v>74</v>
      </c>
      <c r="C16" s="33" t="s">
        <v>75</v>
      </c>
      <c r="D16" s="34">
        <f>'Question bank'!F35+'Question bank'!F36+'Question bank'!F37</f>
        <v>3</v>
      </c>
      <c r="E16" s="34">
        <f t="shared" si="1"/>
        <v>12</v>
      </c>
      <c r="F16" s="34">
        <f>IFERROR(VALUE('Question bank'!O35),0)+IFERROR(VALUE('Question bank'!O36),0)+IFERROR(VALUE('Question bank'!O37),0)</f>
        <v>0</v>
      </c>
      <c r="G16" s="35" t="str">
        <f>IF(('Question bank'!N35&lt;&gt;"")*('Question bank'!N36&lt;&gt;"")*('Question bank'!N37&lt;&gt;"")=1,ROUND(F16/E16*100,0),"")</f>
        <v/>
      </c>
    </row>
    <row r="17">
      <c r="A17" s="31" t="s">
        <v>45</v>
      </c>
      <c r="B17" s="32" t="s">
        <v>76</v>
      </c>
      <c r="C17" s="33" t="s">
        <v>77</v>
      </c>
      <c r="D17" s="34">
        <f>'Question bank'!F38+'Question bank'!F39+'Question bank'!F40</f>
        <v>3</v>
      </c>
      <c r="E17" s="34">
        <f t="shared" si="1"/>
        <v>12</v>
      </c>
      <c r="F17" s="34">
        <f>IFERROR(VALUE('Question bank'!O38),0)+IFERROR(VALUE('Question bank'!O39),0)+IFERROR(VALUE('Question bank'!O40),0)</f>
        <v>0</v>
      </c>
      <c r="G17" s="35" t="str">
        <f>IF(('Question bank'!N38&lt;&gt;"")*('Question bank'!N39&lt;&gt;"")*('Question bank'!N40&lt;&gt;"")=1,ROUND(F17/E17*100,0),"")</f>
        <v/>
      </c>
    </row>
    <row r="20">
      <c r="A20" s="5" t="s">
        <v>355</v>
      </c>
    </row>
    <row r="21" ht="21.75" customHeight="1">
      <c r="A21" s="9" t="s">
        <v>29</v>
      </c>
      <c r="B21" s="9" t="s">
        <v>350</v>
      </c>
      <c r="C21" s="9" t="s">
        <v>356</v>
      </c>
      <c r="D21" s="9" t="s">
        <v>357</v>
      </c>
      <c r="E21" s="9" t="s">
        <v>358</v>
      </c>
    </row>
    <row r="22" ht="15.75" customHeight="1">
      <c r="A22" s="22" t="s">
        <v>36</v>
      </c>
      <c r="B22" s="23" t="s">
        <v>359</v>
      </c>
      <c r="C22" s="25" t="str">
        <f>IF(COUNT(G6:G9)=4,ROUND(AVERAGE(G6:G9),0),"")</f>
        <v/>
      </c>
      <c r="D22" s="24">
        <v>0.33</v>
      </c>
      <c r="E22" s="24" t="str">
        <f t="shared" ref="E22:E24" si="2">IF(C22="","",ROUND(C22*D22,1))</f>
        <v/>
      </c>
    </row>
    <row r="23" ht="15.75" customHeight="1">
      <c r="A23" s="27" t="s">
        <v>41</v>
      </c>
      <c r="B23" s="28" t="s">
        <v>360</v>
      </c>
      <c r="C23" s="30" t="str">
        <f>IF(COUNT(G10:G13)=4,ROUND(AVERAGE(G10:G13),0),"")</f>
        <v/>
      </c>
      <c r="D23" s="29">
        <v>0.33</v>
      </c>
      <c r="E23" s="29" t="str">
        <f t="shared" si="2"/>
        <v/>
      </c>
    </row>
    <row r="24" ht="15.75" customHeight="1">
      <c r="A24" s="32" t="s">
        <v>45</v>
      </c>
      <c r="B24" s="33" t="s">
        <v>361</v>
      </c>
      <c r="C24" s="35" t="str">
        <f>IF(COUNT(G14:G17)=4,ROUND(AVERAGE(G14:G17),0),"")</f>
        <v/>
      </c>
      <c r="D24" s="34">
        <v>0.34</v>
      </c>
      <c r="E24" s="34" t="str">
        <f t="shared" si="2"/>
        <v/>
      </c>
    </row>
    <row r="25" ht="15.75" customHeight="1"/>
    <row r="26" ht="15.75" customHeight="1">
      <c r="A26" s="5" t="s">
        <v>362</v>
      </c>
      <c r="C26" s="36" t="s">
        <v>363</v>
      </c>
    </row>
    <row r="27" ht="42.0" customHeight="1">
      <c r="A27" s="37" t="str">
        <f>IF(COUNT(E22:E24)=3,ROUND(SUM(E22:E24),0),"Incomplete")</f>
        <v>Incomplete</v>
      </c>
      <c r="C27" s="38" t="str">
        <f>IF(A27="Incomplete","Complete the diagnostic",IF(A27&lt;40,"Getting started",IF(A27&lt;60,"Developing",IF(A27&lt;80,"Working practice","Established practice"))))</f>
        <v>Complete the diagnostic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4" width="55.0"/>
    <col customWidth="1" min="5" max="26" width="8.71"/>
  </cols>
  <sheetData>
    <row r="1" ht="27.75" customHeight="1">
      <c r="A1" s="1" t="s">
        <v>364</v>
      </c>
    </row>
    <row r="2">
      <c r="A2" s="2" t="s">
        <v>365</v>
      </c>
    </row>
    <row r="4" ht="21.75" customHeight="1">
      <c r="A4" s="9" t="s">
        <v>366</v>
      </c>
      <c r="B4" s="9" t="s">
        <v>367</v>
      </c>
      <c r="C4" s="9" t="s">
        <v>19</v>
      </c>
      <c r="D4" s="9" t="s">
        <v>368</v>
      </c>
    </row>
    <row r="5" ht="79.5" customHeight="1">
      <c r="A5" s="39" t="s">
        <v>369</v>
      </c>
      <c r="B5" s="40" t="s">
        <v>370</v>
      </c>
      <c r="C5" s="41" t="s">
        <v>371</v>
      </c>
      <c r="D5" s="41" t="s">
        <v>372</v>
      </c>
    </row>
    <row r="6" ht="79.5" customHeight="1">
      <c r="A6" s="39" t="s">
        <v>373</v>
      </c>
      <c r="B6" s="40" t="s">
        <v>374</v>
      </c>
      <c r="C6" s="41" t="s">
        <v>375</v>
      </c>
      <c r="D6" s="41" t="s">
        <v>376</v>
      </c>
    </row>
    <row r="7" ht="79.5" customHeight="1">
      <c r="A7" s="39" t="s">
        <v>377</v>
      </c>
      <c r="B7" s="40" t="s">
        <v>378</v>
      </c>
      <c r="C7" s="41" t="s">
        <v>379</v>
      </c>
      <c r="D7" s="41" t="s">
        <v>380</v>
      </c>
    </row>
    <row r="8" ht="79.5" customHeight="1">
      <c r="A8" s="39" t="s">
        <v>381</v>
      </c>
      <c r="B8" s="40" t="s">
        <v>382</v>
      </c>
      <c r="C8" s="41" t="s">
        <v>383</v>
      </c>
      <c r="D8" s="41" t="s">
        <v>384</v>
      </c>
    </row>
    <row r="9" ht="79.5" customHeight="1">
      <c r="A9" s="39" t="s">
        <v>385</v>
      </c>
      <c r="B9" s="40" t="s">
        <v>386</v>
      </c>
      <c r="C9" s="41" t="s">
        <v>387</v>
      </c>
      <c r="D9" s="41" t="s">
        <v>388</v>
      </c>
    </row>
    <row r="10" ht="79.5" customHeight="1">
      <c r="A10" s="39" t="s">
        <v>389</v>
      </c>
      <c r="B10" s="40" t="s">
        <v>390</v>
      </c>
      <c r="C10" s="41" t="s">
        <v>391</v>
      </c>
      <c r="D10" s="41" t="s">
        <v>392</v>
      </c>
    </row>
    <row r="11" ht="79.5" customHeight="1">
      <c r="A11" s="39" t="s">
        <v>393</v>
      </c>
      <c r="B11" s="40" t="s">
        <v>394</v>
      </c>
      <c r="C11" s="41" t="s">
        <v>395</v>
      </c>
      <c r="D11" s="41" t="s">
        <v>396</v>
      </c>
    </row>
    <row r="12" ht="79.5" customHeight="1">
      <c r="A12" s="39" t="s">
        <v>397</v>
      </c>
      <c r="B12" s="40" t="s">
        <v>398</v>
      </c>
      <c r="C12" s="41" t="s">
        <v>399</v>
      </c>
      <c r="D12" s="41" t="s">
        <v>400</v>
      </c>
    </row>
    <row r="15">
      <c r="A15" s="5" t="s">
        <v>401</v>
      </c>
    </row>
    <row r="16">
      <c r="A16" s="42" t="s">
        <v>402</v>
      </c>
    </row>
    <row r="17">
      <c r="A17" s="42" t="s">
        <v>403</v>
      </c>
    </row>
    <row r="18">
      <c r="A18" s="42" t="s">
        <v>404</v>
      </c>
    </row>
    <row r="19">
      <c r="A19" s="42" t="s">
        <v>405</v>
      </c>
    </row>
    <row r="20">
      <c r="A20" s="42"/>
    </row>
    <row r="21" ht="15.75" customHeight="1">
      <c r="A21" s="42" t="s">
        <v>406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7.0"/>
    <col customWidth="1" min="2" max="2" width="11.0"/>
    <col customWidth="1" min="3" max="3" width="22.0"/>
    <col customWidth="1" min="4" max="4" width="13.0"/>
    <col customWidth="1" min="5" max="5" width="26.0"/>
    <col customWidth="1" min="6" max="7" width="45.0"/>
    <col customWidth="1" min="8" max="26" width="8.71"/>
  </cols>
  <sheetData>
    <row r="1" ht="27.75" customHeight="1">
      <c r="A1" s="1" t="s">
        <v>407</v>
      </c>
    </row>
    <row r="2">
      <c r="A2" s="2" t="s">
        <v>408</v>
      </c>
    </row>
    <row r="3">
      <c r="A3" s="43" t="s">
        <v>409</v>
      </c>
    </row>
    <row r="5" ht="21.75" customHeight="1">
      <c r="A5" s="9" t="s">
        <v>80</v>
      </c>
      <c r="B5" s="9" t="s">
        <v>29</v>
      </c>
      <c r="C5" s="9" t="s">
        <v>50</v>
      </c>
      <c r="D5" s="9" t="s">
        <v>82</v>
      </c>
      <c r="E5" s="9" t="s">
        <v>88</v>
      </c>
      <c r="F5" s="9" t="s">
        <v>410</v>
      </c>
      <c r="G5" s="9" t="s">
        <v>411</v>
      </c>
    </row>
    <row r="6" ht="37.5" customHeight="1">
      <c r="A6" s="39" t="s">
        <v>91</v>
      </c>
      <c r="B6" s="41" t="s">
        <v>36</v>
      </c>
      <c r="C6" s="41" t="s">
        <v>52</v>
      </c>
      <c r="D6" s="44" t="s">
        <v>93</v>
      </c>
      <c r="E6" s="41" t="s">
        <v>99</v>
      </c>
      <c r="F6" s="41" t="s">
        <v>412</v>
      </c>
      <c r="G6" s="41"/>
    </row>
    <row r="7" ht="37.5" customHeight="1">
      <c r="A7" s="39" t="s">
        <v>100</v>
      </c>
      <c r="B7" s="41" t="s">
        <v>36</v>
      </c>
      <c r="C7" s="41" t="s">
        <v>52</v>
      </c>
      <c r="D7" s="10" t="s">
        <v>102</v>
      </c>
      <c r="E7" s="41" t="s">
        <v>108</v>
      </c>
      <c r="F7" s="41" t="s">
        <v>413</v>
      </c>
      <c r="G7" s="41"/>
    </row>
    <row r="8" ht="37.5" customHeight="1">
      <c r="A8" s="39" t="s">
        <v>109</v>
      </c>
      <c r="B8" s="41" t="s">
        <v>36</v>
      </c>
      <c r="C8" s="41" t="s">
        <v>52</v>
      </c>
      <c r="D8" s="45" t="s">
        <v>110</v>
      </c>
      <c r="E8" s="41" t="s">
        <v>116</v>
      </c>
      <c r="F8" s="41" t="s">
        <v>414</v>
      </c>
      <c r="G8" s="41"/>
    </row>
    <row r="9" ht="37.5" customHeight="1">
      <c r="A9" s="39" t="s">
        <v>117</v>
      </c>
      <c r="B9" s="41" t="s">
        <v>36</v>
      </c>
      <c r="C9" s="41" t="s">
        <v>55</v>
      </c>
      <c r="D9" s="44" t="s">
        <v>93</v>
      </c>
      <c r="E9" s="41" t="s">
        <v>123</v>
      </c>
      <c r="F9" s="41" t="s">
        <v>412</v>
      </c>
      <c r="G9" s="41"/>
    </row>
    <row r="10" ht="37.5" customHeight="1">
      <c r="A10" s="39" t="s">
        <v>124</v>
      </c>
      <c r="B10" s="41" t="s">
        <v>36</v>
      </c>
      <c r="C10" s="41" t="s">
        <v>55</v>
      </c>
      <c r="D10" s="10" t="s">
        <v>102</v>
      </c>
      <c r="E10" s="41" t="s">
        <v>130</v>
      </c>
      <c r="F10" s="41" t="s">
        <v>413</v>
      </c>
      <c r="G10" s="41"/>
    </row>
    <row r="11" ht="37.5" customHeight="1">
      <c r="A11" s="39" t="s">
        <v>131</v>
      </c>
      <c r="B11" s="41" t="s">
        <v>36</v>
      </c>
      <c r="C11" s="41" t="s">
        <v>55</v>
      </c>
      <c r="D11" s="45" t="s">
        <v>110</v>
      </c>
      <c r="E11" s="41" t="s">
        <v>137</v>
      </c>
      <c r="F11" s="41" t="s">
        <v>414</v>
      </c>
      <c r="G11" s="41"/>
    </row>
    <row r="12" ht="37.5" customHeight="1">
      <c r="A12" s="39" t="s">
        <v>138</v>
      </c>
      <c r="B12" s="41" t="s">
        <v>36</v>
      </c>
      <c r="C12" s="41" t="s">
        <v>57</v>
      </c>
      <c r="D12" s="10" t="s">
        <v>102</v>
      </c>
      <c r="E12" s="41" t="s">
        <v>144</v>
      </c>
      <c r="F12" s="41" t="s">
        <v>413</v>
      </c>
      <c r="G12" s="41"/>
    </row>
    <row r="13" ht="37.5" customHeight="1">
      <c r="A13" s="39" t="s">
        <v>145</v>
      </c>
      <c r="B13" s="41" t="s">
        <v>36</v>
      </c>
      <c r="C13" s="41" t="s">
        <v>57</v>
      </c>
      <c r="D13" s="44" t="s">
        <v>93</v>
      </c>
      <c r="E13" s="41" t="s">
        <v>151</v>
      </c>
      <c r="F13" s="41" t="s">
        <v>412</v>
      </c>
      <c r="G13" s="41"/>
    </row>
    <row r="14" ht="37.5" customHeight="1">
      <c r="A14" s="39" t="s">
        <v>152</v>
      </c>
      <c r="B14" s="41" t="s">
        <v>36</v>
      </c>
      <c r="C14" s="41" t="s">
        <v>57</v>
      </c>
      <c r="D14" s="45" t="s">
        <v>110</v>
      </c>
      <c r="E14" s="41" t="s">
        <v>158</v>
      </c>
      <c r="F14" s="41" t="s">
        <v>414</v>
      </c>
      <c r="G14" s="41"/>
    </row>
    <row r="15" ht="37.5" customHeight="1">
      <c r="A15" s="39" t="s">
        <v>159</v>
      </c>
      <c r="B15" s="41" t="s">
        <v>36</v>
      </c>
      <c r="C15" s="41" t="s">
        <v>60</v>
      </c>
      <c r="D15" s="44" t="s">
        <v>93</v>
      </c>
      <c r="E15" s="41" t="s">
        <v>165</v>
      </c>
      <c r="F15" s="41" t="s">
        <v>412</v>
      </c>
      <c r="G15" s="41"/>
    </row>
    <row r="16" ht="37.5" customHeight="1">
      <c r="A16" s="39" t="s">
        <v>166</v>
      </c>
      <c r="B16" s="41" t="s">
        <v>36</v>
      </c>
      <c r="C16" s="41" t="s">
        <v>60</v>
      </c>
      <c r="D16" s="45" t="s">
        <v>110</v>
      </c>
      <c r="E16" s="41" t="s">
        <v>172</v>
      </c>
      <c r="F16" s="41" t="s">
        <v>414</v>
      </c>
      <c r="G16" s="41"/>
    </row>
    <row r="17" ht="37.5" customHeight="1">
      <c r="A17" s="39" t="s">
        <v>173</v>
      </c>
      <c r="B17" s="41" t="s">
        <v>36</v>
      </c>
      <c r="C17" s="41" t="s">
        <v>60</v>
      </c>
      <c r="D17" s="10" t="s">
        <v>102</v>
      </c>
      <c r="E17" s="41" t="s">
        <v>179</v>
      </c>
      <c r="F17" s="41" t="s">
        <v>413</v>
      </c>
      <c r="G17" s="41"/>
    </row>
    <row r="18" ht="37.5" customHeight="1">
      <c r="A18" s="39" t="s">
        <v>180</v>
      </c>
      <c r="B18" s="41" t="s">
        <v>41</v>
      </c>
      <c r="C18" s="41" t="s">
        <v>62</v>
      </c>
      <c r="D18" s="44" t="s">
        <v>93</v>
      </c>
      <c r="E18" s="41" t="s">
        <v>186</v>
      </c>
      <c r="F18" s="41" t="s">
        <v>412</v>
      </c>
      <c r="G18" s="41"/>
    </row>
    <row r="19" ht="37.5" customHeight="1">
      <c r="A19" s="39" t="s">
        <v>187</v>
      </c>
      <c r="B19" s="41" t="s">
        <v>41</v>
      </c>
      <c r="C19" s="41" t="s">
        <v>62</v>
      </c>
      <c r="D19" s="44" t="s">
        <v>93</v>
      </c>
      <c r="E19" s="41" t="s">
        <v>193</v>
      </c>
      <c r="F19" s="41" t="s">
        <v>412</v>
      </c>
      <c r="G19" s="41"/>
    </row>
    <row r="20" ht="37.5" customHeight="1">
      <c r="A20" s="39" t="s">
        <v>194</v>
      </c>
      <c r="B20" s="41" t="s">
        <v>41</v>
      </c>
      <c r="C20" s="41" t="s">
        <v>62</v>
      </c>
      <c r="D20" s="44" t="s">
        <v>93</v>
      </c>
      <c r="E20" s="41" t="s">
        <v>200</v>
      </c>
      <c r="F20" s="41" t="s">
        <v>412</v>
      </c>
      <c r="G20" s="41"/>
    </row>
    <row r="21" ht="37.5" customHeight="1">
      <c r="A21" s="39" t="s">
        <v>201</v>
      </c>
      <c r="B21" s="41" t="s">
        <v>41</v>
      </c>
      <c r="C21" s="41" t="s">
        <v>64</v>
      </c>
      <c r="D21" s="45" t="s">
        <v>110</v>
      </c>
      <c r="E21" s="41" t="s">
        <v>207</v>
      </c>
      <c r="F21" s="41" t="s">
        <v>414</v>
      </c>
      <c r="G21" s="41"/>
    </row>
    <row r="22" ht="37.5" customHeight="1">
      <c r="A22" s="39" t="s">
        <v>208</v>
      </c>
      <c r="B22" s="41" t="s">
        <v>41</v>
      </c>
      <c r="C22" s="41" t="s">
        <v>64</v>
      </c>
      <c r="D22" s="10" t="s">
        <v>102</v>
      </c>
      <c r="E22" s="41" t="s">
        <v>214</v>
      </c>
      <c r="F22" s="41" t="s">
        <v>413</v>
      </c>
      <c r="G22" s="41"/>
    </row>
    <row r="23" ht="37.5" customHeight="1">
      <c r="A23" s="39" t="s">
        <v>215</v>
      </c>
      <c r="B23" s="41" t="s">
        <v>41</v>
      </c>
      <c r="C23" s="41" t="s">
        <v>64</v>
      </c>
      <c r="D23" s="10" t="s">
        <v>102</v>
      </c>
      <c r="E23" s="41" t="s">
        <v>221</v>
      </c>
      <c r="F23" s="41" t="s">
        <v>413</v>
      </c>
      <c r="G23" s="41"/>
    </row>
    <row r="24" ht="37.5" customHeight="1">
      <c r="A24" s="39" t="s">
        <v>222</v>
      </c>
      <c r="B24" s="41" t="s">
        <v>41</v>
      </c>
      <c r="C24" s="41" t="s">
        <v>66</v>
      </c>
      <c r="D24" s="44" t="s">
        <v>93</v>
      </c>
      <c r="E24" s="41" t="s">
        <v>228</v>
      </c>
      <c r="F24" s="41" t="s">
        <v>412</v>
      </c>
      <c r="G24" s="41"/>
    </row>
    <row r="25" ht="37.5" customHeight="1">
      <c r="A25" s="39" t="s">
        <v>229</v>
      </c>
      <c r="B25" s="41" t="s">
        <v>41</v>
      </c>
      <c r="C25" s="41" t="s">
        <v>66</v>
      </c>
      <c r="D25" s="44" t="s">
        <v>93</v>
      </c>
      <c r="E25" s="41" t="s">
        <v>235</v>
      </c>
      <c r="F25" s="41" t="s">
        <v>412</v>
      </c>
      <c r="G25" s="41"/>
    </row>
    <row r="26" ht="37.5" customHeight="1">
      <c r="A26" s="39" t="s">
        <v>236</v>
      </c>
      <c r="B26" s="41" t="s">
        <v>41</v>
      </c>
      <c r="C26" s="41" t="s">
        <v>66</v>
      </c>
      <c r="D26" s="45" t="s">
        <v>110</v>
      </c>
      <c r="E26" s="41" t="s">
        <v>242</v>
      </c>
      <c r="F26" s="41" t="s">
        <v>414</v>
      </c>
      <c r="G26" s="41"/>
    </row>
    <row r="27" ht="37.5" customHeight="1">
      <c r="A27" s="39" t="s">
        <v>243</v>
      </c>
      <c r="B27" s="41" t="s">
        <v>41</v>
      </c>
      <c r="C27" s="41" t="s">
        <v>68</v>
      </c>
      <c r="D27" s="44" t="s">
        <v>93</v>
      </c>
      <c r="E27" s="41" t="s">
        <v>249</v>
      </c>
      <c r="F27" s="41" t="s">
        <v>412</v>
      </c>
      <c r="G27" s="41"/>
    </row>
    <row r="28" ht="37.5" customHeight="1">
      <c r="A28" s="39" t="s">
        <v>250</v>
      </c>
      <c r="B28" s="41" t="s">
        <v>41</v>
      </c>
      <c r="C28" s="41" t="s">
        <v>68</v>
      </c>
      <c r="D28" s="45" t="s">
        <v>110</v>
      </c>
      <c r="E28" s="41" t="s">
        <v>256</v>
      </c>
      <c r="F28" s="41" t="s">
        <v>414</v>
      </c>
      <c r="G28" s="41"/>
    </row>
    <row r="29" ht="37.5" customHeight="1">
      <c r="A29" s="39" t="s">
        <v>257</v>
      </c>
      <c r="B29" s="41" t="s">
        <v>41</v>
      </c>
      <c r="C29" s="41" t="s">
        <v>68</v>
      </c>
      <c r="D29" s="44" t="s">
        <v>93</v>
      </c>
      <c r="E29" s="41" t="s">
        <v>263</v>
      </c>
      <c r="F29" s="41" t="s">
        <v>412</v>
      </c>
      <c r="G29" s="41"/>
    </row>
    <row r="30" ht="37.5" customHeight="1">
      <c r="A30" s="39" t="s">
        <v>264</v>
      </c>
      <c r="B30" s="41" t="s">
        <v>45</v>
      </c>
      <c r="C30" s="41" t="s">
        <v>70</v>
      </c>
      <c r="D30" s="44" t="s">
        <v>93</v>
      </c>
      <c r="E30" s="41" t="s">
        <v>270</v>
      </c>
      <c r="F30" s="41" t="s">
        <v>412</v>
      </c>
      <c r="G30" s="41"/>
    </row>
    <row r="31" ht="37.5" customHeight="1">
      <c r="A31" s="39" t="s">
        <v>271</v>
      </c>
      <c r="B31" s="41" t="s">
        <v>45</v>
      </c>
      <c r="C31" s="41" t="s">
        <v>70</v>
      </c>
      <c r="D31" s="44" t="s">
        <v>93</v>
      </c>
      <c r="E31" s="41" t="s">
        <v>277</v>
      </c>
      <c r="F31" s="41" t="s">
        <v>412</v>
      </c>
      <c r="G31" s="41"/>
    </row>
    <row r="32" ht="37.5" customHeight="1">
      <c r="A32" s="39" t="s">
        <v>278</v>
      </c>
      <c r="B32" s="41" t="s">
        <v>45</v>
      </c>
      <c r="C32" s="41" t="s">
        <v>70</v>
      </c>
      <c r="D32" s="45" t="s">
        <v>110</v>
      </c>
      <c r="E32" s="41" t="s">
        <v>284</v>
      </c>
      <c r="F32" s="41" t="s">
        <v>414</v>
      </c>
      <c r="G32" s="41"/>
    </row>
    <row r="33" ht="37.5" customHeight="1">
      <c r="A33" s="39" t="s">
        <v>285</v>
      </c>
      <c r="B33" s="41" t="s">
        <v>45</v>
      </c>
      <c r="C33" s="41" t="s">
        <v>72</v>
      </c>
      <c r="D33" s="10" t="s">
        <v>102</v>
      </c>
      <c r="E33" s="41" t="s">
        <v>291</v>
      </c>
      <c r="F33" s="41" t="s">
        <v>413</v>
      </c>
      <c r="G33" s="41"/>
    </row>
    <row r="34" ht="37.5" customHeight="1">
      <c r="A34" s="39" t="s">
        <v>292</v>
      </c>
      <c r="B34" s="41" t="s">
        <v>45</v>
      </c>
      <c r="C34" s="41" t="s">
        <v>72</v>
      </c>
      <c r="D34" s="44" t="s">
        <v>93</v>
      </c>
      <c r="E34" s="41" t="s">
        <v>298</v>
      </c>
      <c r="F34" s="41" t="s">
        <v>412</v>
      </c>
      <c r="G34" s="41"/>
    </row>
    <row r="35" ht="37.5" customHeight="1">
      <c r="A35" s="39" t="s">
        <v>299</v>
      </c>
      <c r="B35" s="41" t="s">
        <v>45</v>
      </c>
      <c r="C35" s="41" t="s">
        <v>72</v>
      </c>
      <c r="D35" s="45" t="s">
        <v>110</v>
      </c>
      <c r="E35" s="41" t="s">
        <v>305</v>
      </c>
      <c r="F35" s="41" t="s">
        <v>414</v>
      </c>
      <c r="G35" s="41"/>
    </row>
    <row r="36" ht="37.5" customHeight="1">
      <c r="A36" s="39" t="s">
        <v>306</v>
      </c>
      <c r="B36" s="41" t="s">
        <v>45</v>
      </c>
      <c r="C36" s="41" t="s">
        <v>74</v>
      </c>
      <c r="D36" s="45" t="s">
        <v>110</v>
      </c>
      <c r="E36" s="41" t="s">
        <v>312</v>
      </c>
      <c r="F36" s="41" t="s">
        <v>414</v>
      </c>
      <c r="G36" s="41"/>
    </row>
    <row r="37" ht="37.5" customHeight="1">
      <c r="A37" s="39" t="s">
        <v>313</v>
      </c>
      <c r="B37" s="41" t="s">
        <v>45</v>
      </c>
      <c r="C37" s="41" t="s">
        <v>74</v>
      </c>
      <c r="D37" s="44" t="s">
        <v>93</v>
      </c>
      <c r="E37" s="41" t="s">
        <v>319</v>
      </c>
      <c r="F37" s="41" t="s">
        <v>412</v>
      </c>
      <c r="G37" s="41"/>
    </row>
    <row r="38" ht="37.5" customHeight="1">
      <c r="A38" s="39" t="s">
        <v>320</v>
      </c>
      <c r="B38" s="41" t="s">
        <v>45</v>
      </c>
      <c r="C38" s="41" t="s">
        <v>74</v>
      </c>
      <c r="D38" s="45" t="s">
        <v>110</v>
      </c>
      <c r="E38" s="41" t="s">
        <v>326</v>
      </c>
      <c r="F38" s="41" t="s">
        <v>414</v>
      </c>
      <c r="G38" s="41"/>
    </row>
    <row r="39" ht="37.5" customHeight="1">
      <c r="A39" s="39" t="s">
        <v>327</v>
      </c>
      <c r="B39" s="41" t="s">
        <v>45</v>
      </c>
      <c r="C39" s="41" t="s">
        <v>76</v>
      </c>
      <c r="D39" s="44" t="s">
        <v>93</v>
      </c>
      <c r="E39" s="41" t="s">
        <v>333</v>
      </c>
      <c r="F39" s="41" t="s">
        <v>412</v>
      </c>
      <c r="G39" s="41"/>
    </row>
    <row r="40" ht="37.5" customHeight="1">
      <c r="A40" s="39" t="s">
        <v>334</v>
      </c>
      <c r="B40" s="41" t="s">
        <v>45</v>
      </c>
      <c r="C40" s="41" t="s">
        <v>76</v>
      </c>
      <c r="D40" s="10" t="s">
        <v>102</v>
      </c>
      <c r="E40" s="41" t="s">
        <v>340</v>
      </c>
      <c r="F40" s="41" t="s">
        <v>413</v>
      </c>
      <c r="G40" s="41"/>
    </row>
    <row r="41" ht="37.5" customHeight="1">
      <c r="A41" s="39" t="s">
        <v>341</v>
      </c>
      <c r="B41" s="41" t="s">
        <v>45</v>
      </c>
      <c r="C41" s="41" t="s">
        <v>76</v>
      </c>
      <c r="D41" s="45" t="s">
        <v>110</v>
      </c>
      <c r="E41" s="41" t="s">
        <v>347</v>
      </c>
      <c r="F41" s="41" t="s">
        <v>414</v>
      </c>
      <c r="G41" s="41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4" width="28.0"/>
    <col customWidth="1" min="5" max="5" width="32.0"/>
    <col customWidth="1" min="6" max="6" width="8.71"/>
    <col customWidth="1" hidden="1" min="7" max="9" width="13.0"/>
    <col customWidth="1" min="10" max="26" width="8.71"/>
  </cols>
  <sheetData>
    <row r="1" ht="27.75" customHeight="1">
      <c r="A1" s="1" t="s">
        <v>0</v>
      </c>
    </row>
    <row r="2">
      <c r="A2" s="2" t="s">
        <v>415</v>
      </c>
    </row>
    <row r="4">
      <c r="A4" s="46" t="s">
        <v>416</v>
      </c>
      <c r="B4" s="46" t="s">
        <v>363</v>
      </c>
      <c r="C4" s="46" t="s">
        <v>366</v>
      </c>
      <c r="G4" s="47" t="s">
        <v>366</v>
      </c>
      <c r="H4" s="47" t="s">
        <v>417</v>
      </c>
      <c r="I4" s="47" t="s">
        <v>368</v>
      </c>
    </row>
    <row r="5" ht="48.0" customHeight="1">
      <c r="A5" s="48" t="str">
        <f>Scoring!A27</f>
        <v>Incomplete</v>
      </c>
      <c r="B5" s="49" t="str">
        <f>Scoring!C27</f>
        <v>Complete the diagnostic</v>
      </c>
      <c r="C5" s="50" t="str">
        <f>IF(OR(Scoring!C22="",Scoring!C23="",Scoring!C24=""),"Incomplete",IF((MAX(Scoring!C22,Scoring!C23,Scoring!C24) - MIN(Scoring!C22,Scoring!C23,Scoring!C24)) &lt;= 15,"Even Maker",IF(AND((MAX(Scoring!C22,Scoring!C23,Scoring!C24) - MEDIAN(Scoring!C22,Scoring!C23,Scoring!C24)) &gt;= 12, (MAX(Scoring!C22,Scoring!C23,Scoring!C24) - MIN(Scoring!C22,Scoring!C23,Scoring!C24)) &gt;= 18),IF(Scoring!C22=MAX(Scoring!C22,Scoring!C23,Scoring!C24),"The Collector",IF(Scoring!C23=MAX(Scoring!C22,Scoring!C23,Scoring!C24),"The Thinker","The Builder")),IF(AND(MIN(Scoring!C22,Scoring!C23,Scoring!C24) &lt; 50, (LARGE((Scoring!C22~Scoring!C23~Scoring!C24),1) + LARGE((Scoring!C22~Scoring!C23~Scoring!C24),2))/2 &gt;= 60),IF(Scoring!C24=MIN(Scoring!C22,Scoring!C23,Scoring!C24),"Stuck Upstream",IF(Scoring!C23=MIN(Scoring!C22,Scoring!C23,Scoring!C24),"Stuck Midstream","Rushed Maker")),"Developing Maker"))))</f>
        <v>#ERROR!</v>
      </c>
      <c r="G5" s="40" t="s">
        <v>369</v>
      </c>
      <c r="H5" s="40" t="s">
        <v>371</v>
      </c>
      <c r="I5" s="40" t="s">
        <v>372</v>
      </c>
    </row>
    <row r="6">
      <c r="G6" s="40" t="s">
        <v>373</v>
      </c>
      <c r="H6" s="40" t="s">
        <v>375</v>
      </c>
      <c r="I6" s="40" t="s">
        <v>376</v>
      </c>
    </row>
    <row r="7">
      <c r="G7" s="40" t="s">
        <v>377</v>
      </c>
      <c r="H7" s="40" t="s">
        <v>379</v>
      </c>
      <c r="I7" s="40" t="s">
        <v>380</v>
      </c>
    </row>
    <row r="8">
      <c r="A8" s="5" t="s">
        <v>355</v>
      </c>
      <c r="G8" s="40" t="s">
        <v>381</v>
      </c>
      <c r="H8" s="40" t="s">
        <v>383</v>
      </c>
      <c r="I8" s="40" t="s">
        <v>384</v>
      </c>
    </row>
    <row r="9" ht="21.75" customHeight="1">
      <c r="A9" s="9" t="s">
        <v>29</v>
      </c>
      <c r="B9" s="9" t="s">
        <v>354</v>
      </c>
      <c r="C9" s="9" t="s">
        <v>35</v>
      </c>
      <c r="D9" s="9" t="s">
        <v>418</v>
      </c>
      <c r="E9" s="9" t="s">
        <v>419</v>
      </c>
      <c r="G9" s="40" t="s">
        <v>385</v>
      </c>
      <c r="H9" s="40" t="s">
        <v>387</v>
      </c>
      <c r="I9" s="40" t="s">
        <v>388</v>
      </c>
    </row>
    <row r="10">
      <c r="A10" s="10" t="s">
        <v>36</v>
      </c>
      <c r="B10" s="25" t="str">
        <f>Scoring!C22</f>
        <v/>
      </c>
      <c r="C10" s="12" t="s">
        <v>40</v>
      </c>
      <c r="D10" s="10" t="str">
        <f t="array" ref="D10">IF(COUNT(Scoring!G6:G9)=4,INDEX(Scoring!B6:B9,MATCH(MAX(Scoring!G6:G9),Scoring!G6:G9,0)),"")</f>
        <v/>
      </c>
      <c r="E10" s="10" t="str">
        <f t="array" ref="E10">IF(COUNT(Scoring!G6:G9)=4,INDEX(Scoring!B6:B9,MATCH(MIN(Scoring!G6:G9),Scoring!G6:G9,0)),"")</f>
        <v/>
      </c>
      <c r="G10" s="40" t="s">
        <v>389</v>
      </c>
      <c r="H10" s="40" t="s">
        <v>391</v>
      </c>
      <c r="I10" s="40" t="s">
        <v>392</v>
      </c>
    </row>
    <row r="11">
      <c r="A11" s="15" t="s">
        <v>41</v>
      </c>
      <c r="B11" s="30" t="str">
        <f>Scoring!C23</f>
        <v/>
      </c>
      <c r="C11" s="17" t="s">
        <v>40</v>
      </c>
      <c r="D11" s="15" t="str">
        <f t="array" ref="D11">IF(COUNT(Scoring!G10:G13)=4,INDEX(Scoring!B10:B13,MATCH(MAX(Scoring!G10:G13),Scoring!G10:G13,0)),"")</f>
        <v/>
      </c>
      <c r="E11" s="15" t="str">
        <f t="array" ref="E11">IF(COUNT(Scoring!G10:G13)=4,INDEX(Scoring!B10:B13,MATCH(MIN(Scoring!G10:G13),Scoring!G10:G13,0)),"")</f>
        <v/>
      </c>
      <c r="G11" s="40" t="s">
        <v>393</v>
      </c>
      <c r="H11" s="40" t="s">
        <v>395</v>
      </c>
      <c r="I11" s="40" t="s">
        <v>396</v>
      </c>
    </row>
    <row r="12">
      <c r="A12" s="18" t="s">
        <v>45</v>
      </c>
      <c r="B12" s="35" t="str">
        <f>Scoring!C24</f>
        <v/>
      </c>
      <c r="C12" s="20" t="s">
        <v>40</v>
      </c>
      <c r="D12" s="18" t="str">
        <f t="array" ref="D12">IF(COUNT(Scoring!G14:G17)=4,INDEX(Scoring!B14:B17,MATCH(MAX(Scoring!G14:G17),Scoring!G14:G17,0)),"")</f>
        <v/>
      </c>
      <c r="E12" s="18" t="str">
        <f t="array" ref="E12">IF(COUNT(Scoring!G14:G17)=4,INDEX(Scoring!B14:B17,MATCH(MIN(Scoring!G14:G17),Scoring!G14:G17,0)),"")</f>
        <v/>
      </c>
      <c r="G12" s="40" t="s">
        <v>397</v>
      </c>
      <c r="H12" s="40" t="s">
        <v>399</v>
      </c>
      <c r="I12" s="40" t="s">
        <v>400</v>
      </c>
    </row>
    <row r="14">
      <c r="A14" s="5" t="s">
        <v>420</v>
      </c>
    </row>
    <row r="15" ht="63.75" customHeight="1">
      <c r="A15" s="46" t="s">
        <v>417</v>
      </c>
      <c r="B15" s="4" t="str">
        <f>IFERROR(VLOOKUP(C5,G5:I12,2,FALSE()),"")</f>
        <v/>
      </c>
    </row>
    <row r="16" ht="63.75" customHeight="1">
      <c r="A16" s="46" t="s">
        <v>368</v>
      </c>
      <c r="B16" s="4" t="str">
        <f>IFERROR(VLOOKUP(C5,G5:I12,3,FALSE()),"")</f>
        <v/>
      </c>
    </row>
    <row r="19">
      <c r="A19" s="5" t="s">
        <v>421</v>
      </c>
    </row>
    <row r="20">
      <c r="A20" s="2" t="s">
        <v>422</v>
      </c>
    </row>
    <row r="21" ht="15.75" customHeight="1"/>
    <row r="22" ht="21.75" customHeight="1">
      <c r="A22" s="9" t="s">
        <v>29</v>
      </c>
      <c r="B22" s="9" t="s">
        <v>50</v>
      </c>
      <c r="C22" s="9" t="s">
        <v>18</v>
      </c>
      <c r="D22" s="9" t="s">
        <v>423</v>
      </c>
      <c r="E22" s="9" t="s">
        <v>424</v>
      </c>
    </row>
    <row r="23" ht="15.75" customHeight="1">
      <c r="A23" s="11" t="s">
        <v>36</v>
      </c>
      <c r="B23" s="10" t="s">
        <v>52</v>
      </c>
      <c r="C23" s="25" t="str">
        <f>IF(Scoring!G6="","",Scoring!G6)</f>
        <v/>
      </c>
      <c r="D23" s="24" t="str">
        <f t="shared" ref="D23:D34" si="1">IF(C23="","",IF(C23&lt;50,"High",IF(C23&lt;70,"Medium","Low")))</f>
        <v/>
      </c>
      <c r="E23" s="11" t="s">
        <v>425</v>
      </c>
    </row>
    <row r="24" ht="15.75" customHeight="1">
      <c r="A24" s="11" t="s">
        <v>36</v>
      </c>
      <c r="B24" s="10" t="s">
        <v>55</v>
      </c>
      <c r="C24" s="25" t="str">
        <f>IF(Scoring!G7="","",Scoring!G7)</f>
        <v/>
      </c>
      <c r="D24" s="24" t="str">
        <f t="shared" si="1"/>
        <v/>
      </c>
      <c r="E24" s="11" t="s">
        <v>425</v>
      </c>
    </row>
    <row r="25" ht="15.75" customHeight="1">
      <c r="A25" s="11" t="s">
        <v>36</v>
      </c>
      <c r="B25" s="10" t="s">
        <v>57</v>
      </c>
      <c r="C25" s="25" t="str">
        <f>IF(Scoring!G8="","",Scoring!G8)</f>
        <v/>
      </c>
      <c r="D25" s="24" t="str">
        <f t="shared" si="1"/>
        <v/>
      </c>
      <c r="E25" s="11" t="s">
        <v>425</v>
      </c>
    </row>
    <row r="26" ht="15.75" customHeight="1">
      <c r="A26" s="11" t="s">
        <v>36</v>
      </c>
      <c r="B26" s="10" t="s">
        <v>60</v>
      </c>
      <c r="C26" s="25" t="str">
        <f>IF(Scoring!G9="","",Scoring!G9)</f>
        <v/>
      </c>
      <c r="D26" s="24" t="str">
        <f t="shared" si="1"/>
        <v/>
      </c>
      <c r="E26" s="11" t="s">
        <v>426</v>
      </c>
    </row>
    <row r="27" ht="15.75" customHeight="1">
      <c r="A27" s="16" t="s">
        <v>41</v>
      </c>
      <c r="B27" s="15" t="s">
        <v>62</v>
      </c>
      <c r="C27" s="30" t="str">
        <f>IF(Scoring!G10="","",Scoring!G10)</f>
        <v/>
      </c>
      <c r="D27" s="29" t="str">
        <f t="shared" si="1"/>
        <v/>
      </c>
      <c r="E27" s="16" t="s">
        <v>427</v>
      </c>
    </row>
    <row r="28" ht="15.75" customHeight="1">
      <c r="A28" s="16" t="s">
        <v>41</v>
      </c>
      <c r="B28" s="15" t="s">
        <v>64</v>
      </c>
      <c r="C28" s="30" t="str">
        <f>IF(Scoring!G11="","",Scoring!G11)</f>
        <v/>
      </c>
      <c r="D28" s="29" t="str">
        <f t="shared" si="1"/>
        <v/>
      </c>
      <c r="E28" s="16" t="s">
        <v>426</v>
      </c>
    </row>
    <row r="29" ht="15.75" customHeight="1">
      <c r="A29" s="16" t="s">
        <v>41</v>
      </c>
      <c r="B29" s="15" t="s">
        <v>66</v>
      </c>
      <c r="C29" s="30" t="str">
        <f>IF(Scoring!G12="","",Scoring!G12)</f>
        <v/>
      </c>
      <c r="D29" s="29" t="str">
        <f t="shared" si="1"/>
        <v/>
      </c>
      <c r="E29" s="16" t="s">
        <v>425</v>
      </c>
    </row>
    <row r="30" ht="15.75" customHeight="1">
      <c r="A30" s="16" t="s">
        <v>41</v>
      </c>
      <c r="B30" s="15" t="s">
        <v>68</v>
      </c>
      <c r="C30" s="30" t="str">
        <f>IF(Scoring!G13="","",Scoring!G13)</f>
        <v/>
      </c>
      <c r="D30" s="29" t="str">
        <f t="shared" si="1"/>
        <v/>
      </c>
      <c r="E30" s="16" t="s">
        <v>427</v>
      </c>
    </row>
    <row r="31" ht="15.75" customHeight="1">
      <c r="A31" s="19" t="s">
        <v>45</v>
      </c>
      <c r="B31" s="18" t="s">
        <v>70</v>
      </c>
      <c r="C31" s="35" t="str">
        <f>IF(Scoring!G14="","",Scoring!G14)</f>
        <v/>
      </c>
      <c r="D31" s="34" t="str">
        <f t="shared" si="1"/>
        <v/>
      </c>
      <c r="E31" s="19" t="s">
        <v>425</v>
      </c>
    </row>
    <row r="32" ht="15.75" customHeight="1">
      <c r="A32" s="19" t="s">
        <v>45</v>
      </c>
      <c r="B32" s="18" t="s">
        <v>72</v>
      </c>
      <c r="C32" s="35" t="str">
        <f>IF(Scoring!G15="","",Scoring!G15)</f>
        <v/>
      </c>
      <c r="D32" s="34" t="str">
        <f t="shared" si="1"/>
        <v/>
      </c>
      <c r="E32" s="19" t="s">
        <v>425</v>
      </c>
    </row>
    <row r="33" ht="15.75" customHeight="1">
      <c r="A33" s="19" t="s">
        <v>45</v>
      </c>
      <c r="B33" s="18" t="s">
        <v>74</v>
      </c>
      <c r="C33" s="35" t="str">
        <f>IF(Scoring!G16="","",Scoring!G16)</f>
        <v/>
      </c>
      <c r="D33" s="34" t="str">
        <f t="shared" si="1"/>
        <v/>
      </c>
      <c r="E33" s="19" t="s">
        <v>425</v>
      </c>
    </row>
    <row r="34" ht="15.75" customHeight="1">
      <c r="A34" s="19" t="s">
        <v>45</v>
      </c>
      <c r="B34" s="18" t="s">
        <v>76</v>
      </c>
      <c r="C34" s="35" t="str">
        <f>IF(Scoring!G17="","",Scoring!G17)</f>
        <v/>
      </c>
      <c r="D34" s="34" t="str">
        <f t="shared" si="1"/>
        <v/>
      </c>
      <c r="E34" s="19" t="s">
        <v>425</v>
      </c>
    </row>
    <row r="35" ht="15.75" customHeight="1"/>
    <row r="36" ht="15.75" customHeight="1"/>
    <row r="37" ht="15.75" customHeight="1">
      <c r="A37" s="5" t="s">
        <v>428</v>
      </c>
    </row>
    <row r="38" ht="36.0" customHeight="1">
      <c r="A38" s="4" t="s">
        <v>429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5:E15"/>
    <mergeCell ref="B16:E16"/>
    <mergeCell ref="A38:E3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2026-04-17T19:57:23Z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